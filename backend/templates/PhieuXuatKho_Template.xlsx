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OME\Desktop\CT MR MẬU - YÊN NGHĨA\"/>
    </mc:Choice>
  </mc:AlternateContent>
  <bookViews>
    <workbookView xWindow="0" yWindow="0" windowWidth="28800" windowHeight="12435" firstSheet="1" activeTab="2"/>
  </bookViews>
  <sheets>
    <sheet name="foxz" sheetId="15" state="veryHidden" r:id="rId1"/>
    <sheet name="LÂY NHÔM YANGLY " sheetId="60" r:id="rId2"/>
    <sheet name="VẬT TƯ PHỤ " sheetId="57" r:id="rId3"/>
    <sheet name="NHÔM " sheetId="55" r:id="rId4"/>
    <sheet name="KÍNH " sheetId="58" r:id="rId5"/>
    <sheet name="PHIỄU XUÂT KHO " sheetId="59" r:id="rId6"/>
  </sheets>
  <definedNames>
    <definedName name="_xlnm.Print_Titles" localSheetId="1">'LÂY NHÔM YANGLY '!$9:$9</definedName>
    <definedName name="_xlnm.Print_Titles" localSheetId="3">'NHÔM '!$9:$9</definedName>
  </definedNames>
  <calcPr calcId="162913"/>
</workbook>
</file>

<file path=xl/calcChain.xml><?xml version="1.0" encoding="utf-8"?>
<calcChain xmlns="http://schemas.openxmlformats.org/spreadsheetml/2006/main">
  <c r="G23" i="60" l="1"/>
  <c r="G22" i="60"/>
  <c r="E13" i="57"/>
  <c r="E26" i="57"/>
  <c r="E25" i="57"/>
  <c r="E21" i="57"/>
  <c r="E15" i="57"/>
  <c r="E11" i="57"/>
  <c r="E12" i="57"/>
  <c r="G21" i="60" l="1"/>
  <c r="G20" i="60"/>
  <c r="G19" i="60"/>
  <c r="G18" i="60"/>
  <c r="G17" i="60"/>
  <c r="G16" i="60"/>
  <c r="G15" i="60"/>
  <c r="G14" i="60"/>
  <c r="G13" i="60"/>
  <c r="G12" i="60"/>
  <c r="G11" i="60"/>
  <c r="G10" i="60"/>
  <c r="G24" i="60" l="1"/>
  <c r="G11" i="55"/>
  <c r="G12" i="55"/>
  <c r="G13" i="55"/>
  <c r="G14" i="55"/>
  <c r="G15" i="55"/>
  <c r="G16" i="55"/>
  <c r="G17" i="55"/>
  <c r="G18" i="55"/>
  <c r="G19" i="55"/>
  <c r="G20" i="55"/>
  <c r="G21" i="55"/>
  <c r="G22" i="55"/>
  <c r="G23" i="55"/>
  <c r="G24" i="55"/>
  <c r="G25" i="55"/>
  <c r="G26" i="55"/>
  <c r="G27" i="55"/>
  <c r="G28" i="55"/>
  <c r="G29" i="55"/>
  <c r="G30" i="55"/>
  <c r="G31" i="55"/>
  <c r="G32" i="55"/>
  <c r="G33" i="55"/>
  <c r="G34" i="55"/>
  <c r="G35" i="55"/>
  <c r="G36" i="55"/>
  <c r="G10" i="55"/>
  <c r="F36" i="55"/>
  <c r="H28" i="58" l="1"/>
  <c r="H11" i="58"/>
  <c r="H12" i="58"/>
  <c r="H13" i="58"/>
  <c r="H14" i="58"/>
  <c r="H15" i="58"/>
  <c r="H16" i="58"/>
  <c r="H17" i="58"/>
  <c r="H18" i="58"/>
  <c r="H19" i="58"/>
  <c r="H20" i="58"/>
  <c r="H21" i="58"/>
  <c r="H22" i="58"/>
  <c r="H23" i="58"/>
  <c r="H24" i="58"/>
  <c r="H25" i="58"/>
  <c r="H26" i="58"/>
  <c r="H27" i="58"/>
  <c r="H10" i="58"/>
  <c r="G37" i="55" l="1"/>
  <c r="H18" i="59" l="1"/>
  <c r="G18" i="59"/>
  <c r="G28" i="58" l="1"/>
</calcChain>
</file>

<file path=xl/sharedStrings.xml><?xml version="1.0" encoding="utf-8"?>
<sst xmlns="http://schemas.openxmlformats.org/spreadsheetml/2006/main" count="352" uniqueCount="205">
  <si>
    <t>TT</t>
  </si>
  <si>
    <t>Tên vật tư</t>
  </si>
  <si>
    <t>Đơn vị</t>
  </si>
  <si>
    <t>Số lượng</t>
  </si>
  <si>
    <t xml:space="preserve">  PHIẾU YÊU CẦU VẬT TƯ- PHỤ KIỆN</t>
  </si>
  <si>
    <r>
      <t>Chủng loại phụ kiện :</t>
    </r>
    <r>
      <rPr>
        <sz val="12"/>
        <color indexed="8"/>
        <rFont val="Times New Roman"/>
        <family val="1"/>
      </rPr>
      <t xml:space="preserve">  Viralwindow</t>
    </r>
  </si>
  <si>
    <t xml:space="preserve">Khối lượng </t>
  </si>
  <si>
    <t xml:space="preserve">Tỷ trọng </t>
  </si>
  <si>
    <t xml:space="preserve">Xuất xưởng </t>
  </si>
  <si>
    <t xml:space="preserve">Mã vật tư </t>
  </si>
  <si>
    <t xml:space="preserve"> Người lập            Kiểm tra            Kế toán             Vật tư               Người nhận              Duyệt</t>
  </si>
  <si>
    <t xml:space="preserve">  (Ký, họ tên)             (Ký, họ tên)           (Ký, họ tên)          (Ký, họ tên)             (Ký, họ tên)               (Ký, họ tên)  </t>
  </si>
  <si>
    <r>
      <t xml:space="preserve">Màu sắc </t>
    </r>
    <r>
      <rPr>
        <sz val="12"/>
        <color indexed="8"/>
        <rFont val="Times New Roman"/>
        <family val="1"/>
      </rPr>
      <t xml:space="preserve">: </t>
    </r>
    <r>
      <rPr>
        <sz val="12"/>
        <color rgb="FFFF0000"/>
        <rFont val="Times New Roman"/>
        <family val="1"/>
      </rPr>
      <t xml:space="preserve">Bạc  </t>
    </r>
  </si>
  <si>
    <r>
      <t xml:space="preserve">Địa chỉ giao hàng </t>
    </r>
    <r>
      <rPr>
        <sz val="12"/>
        <color indexed="8"/>
        <rFont val="Times New Roman"/>
        <family val="1"/>
      </rPr>
      <t xml:space="preserve">:  Tại xưởng sản xuất : </t>
    </r>
  </si>
  <si>
    <t>Mã VT</t>
  </si>
  <si>
    <t>Xuất xưởng</t>
  </si>
  <si>
    <t>TỔNG</t>
  </si>
  <si>
    <t xml:space="preserve">        Người lập            Kiểm tra            Kế toán             Vật tư               Người nhận              Duyệt</t>
  </si>
  <si>
    <t xml:space="preserve">       (Ký, họ tên)             (Ký, họ tên)           (Ký, họ tên)          (Ký, họ tên)             (Ký, họ tên)               (Ký, họ tên)  </t>
  </si>
  <si>
    <t xml:space="preserve">  PHIẾU YÊU CẦU VẬT TƯ KÍNH </t>
  </si>
  <si>
    <r>
      <t>Chủng loại phụ kiện :</t>
    </r>
    <r>
      <rPr>
        <sz val="12"/>
        <color indexed="8"/>
        <rFont val="Times New Roman"/>
        <family val="1"/>
      </rPr>
      <t xml:space="preserve"> </t>
    </r>
  </si>
  <si>
    <t xml:space="preserve">Mã Kính </t>
  </si>
  <si>
    <t xml:space="preserve">Loại kính </t>
  </si>
  <si>
    <t xml:space="preserve">Chiều rộng </t>
  </si>
  <si>
    <t>Chiều cao</t>
  </si>
  <si>
    <t>ĐVT</t>
  </si>
  <si>
    <t xml:space="preserve">Diện tích </t>
  </si>
  <si>
    <t xml:space="preserve">  Người lập            Kiểm tra            Kế toán             Vật tư               Người nhận              Duyệt</t>
  </si>
  <si>
    <t xml:space="preserve"> (Ký, họ tên)             (Ký, họ tên)           (Ký, họ tên)          (Ký, họ tên)             (Ký, họ tên)               (Ký, họ tên)  </t>
  </si>
  <si>
    <r>
      <t xml:space="preserve">Màu sắc </t>
    </r>
    <r>
      <rPr>
        <sz val="12"/>
        <color indexed="8"/>
        <rFont val="Times New Roman"/>
        <family val="1"/>
      </rPr>
      <t xml:space="preserve">: </t>
    </r>
  </si>
  <si>
    <t xml:space="preserve">Số tấm </t>
  </si>
  <si>
    <t>CÔNG TY CỔ PHẦN VIRALWINDOW</t>
  </si>
  <si>
    <t>Nhà máy: KM 03, Đường Cienco5, KĐT Thanh Hà, Hà Đông, Hà Nội</t>
  </si>
  <si>
    <t>Hotline: 1800 282839</t>
  </si>
  <si>
    <t>Email:  viralwindow.vn@gmail.com</t>
  </si>
  <si>
    <t>Website: viralwindow.vn</t>
  </si>
  <si>
    <t>PHIẾU XUẤT KHO</t>
  </si>
  <si>
    <t xml:space="preserve">Đại lý:  </t>
  </si>
  <si>
    <t xml:space="preserve">Số điện thoại: </t>
  </si>
  <si>
    <t>STT</t>
  </si>
  <si>
    <t>Mã hiệu</t>
  </si>
  <si>
    <t>Nội dung</t>
  </si>
  <si>
    <t>Kích thước</t>
  </si>
  <si>
    <t>Tổng số lượng</t>
  </si>
  <si>
    <t>Diện Tích</t>
  </si>
  <si>
    <t>Ghi chú</t>
  </si>
  <si>
    <t>Rộng (mm)</t>
  </si>
  <si>
    <t>Cao (mm)</t>
  </si>
  <si>
    <t xml:space="preserve"> CỘNG</t>
  </si>
  <si>
    <t xml:space="preserve">        Vận chuyển           Người kiểm hàng            Khách hàng               Kế toán               Người lập phiếu </t>
  </si>
  <si>
    <t xml:space="preserve"> </t>
  </si>
  <si>
    <t xml:space="preserve">Thời điểm vận chuyển : </t>
  </si>
  <si>
    <r>
      <rPr>
        <b/>
        <sz val="11"/>
        <rFont val="Times New Roman"/>
        <family val="1"/>
      </rPr>
      <t>Lý do xuất   :</t>
    </r>
    <r>
      <rPr>
        <sz val="11"/>
        <rFont val="Times New Roman"/>
        <family val="1"/>
      </rPr>
      <t xml:space="preserve"> </t>
    </r>
  </si>
  <si>
    <r>
      <rPr>
        <b/>
        <sz val="11"/>
        <rFont val="Times New Roman"/>
        <family val="1"/>
      </rPr>
      <t>Xuất tại kho:</t>
    </r>
    <r>
      <rPr>
        <sz val="11"/>
        <rFont val="Times New Roman"/>
        <family val="1"/>
      </rPr>
      <t xml:space="preserve"> Công ty cổ phần Viralwindow ,Số 36 Đường Miền Đông Cự Khê Thanh Oai Hà Nội </t>
    </r>
  </si>
  <si>
    <t xml:space="preserve">          Hà Nội, Ngày 25 tháng 04 năm 2025</t>
  </si>
  <si>
    <r>
      <t>Chủng loại phụ kiện :</t>
    </r>
    <r>
      <rPr>
        <sz val="12"/>
        <color indexed="8"/>
        <rFont val="Times New Roman"/>
        <family val="1"/>
      </rPr>
      <t xml:space="preserve">  </t>
    </r>
  </si>
  <si>
    <r>
      <t xml:space="preserve">Mã Đơn Hàng </t>
    </r>
    <r>
      <rPr>
        <sz val="12"/>
        <color indexed="8"/>
        <rFont val="Times New Roman"/>
        <family val="1"/>
      </rPr>
      <t xml:space="preserve">: </t>
    </r>
  </si>
  <si>
    <t xml:space="preserve"> Ngày ..25..tháng ..10.. năm 2025</t>
  </si>
  <si>
    <t xml:space="preserve">                                         'Hà Nội, Ngày  24  tháng  11 năm 2025</t>
  </si>
  <si>
    <t xml:space="preserve">Khách hàng  : </t>
  </si>
  <si>
    <t xml:space="preserve">Ký hiệu         : </t>
  </si>
  <si>
    <t xml:space="preserve">Địa chỉ          : </t>
  </si>
  <si>
    <t xml:space="preserve"> Ngày ..27..tháng ..11.. năm 2025</t>
  </si>
  <si>
    <t>S2T2</t>
  </si>
  <si>
    <t xml:space="preserve">8.38 mm Flim Grey </t>
  </si>
  <si>
    <t xml:space="preserve">tấm </t>
  </si>
  <si>
    <t>VK2T2</t>
  </si>
  <si>
    <t>VK1T2</t>
  </si>
  <si>
    <t>D5T2</t>
  </si>
  <si>
    <t>D5.1T3</t>
  </si>
  <si>
    <t>VK2T3</t>
  </si>
  <si>
    <t>D5.2T3</t>
  </si>
  <si>
    <t>D5T3</t>
  </si>
  <si>
    <t>D5.1T4</t>
  </si>
  <si>
    <t>VK3T4</t>
  </si>
  <si>
    <t>D5.2T4</t>
  </si>
  <si>
    <t>D5T4</t>
  </si>
  <si>
    <t>SM1</t>
  </si>
  <si>
    <t>SM2</t>
  </si>
  <si>
    <t>S3T</t>
  </si>
  <si>
    <t xml:space="preserve">          Hà Nội, Ngày 27 tháng 11 năm 2025</t>
  </si>
  <si>
    <r>
      <t xml:space="preserve">Công trình </t>
    </r>
    <r>
      <rPr>
        <sz val="12"/>
        <color indexed="8"/>
        <rFont val="Times New Roman"/>
        <family val="1"/>
      </rPr>
      <t xml:space="preserve">: Mr Mậu - Hà Đông Hà Nội </t>
    </r>
  </si>
  <si>
    <r>
      <t xml:space="preserve">Mã Đơn Hàng </t>
    </r>
    <r>
      <rPr>
        <sz val="12"/>
        <color indexed="8"/>
        <rFont val="Times New Roman"/>
        <family val="1"/>
      </rPr>
      <t>: VR57</t>
    </r>
  </si>
  <si>
    <r>
      <t xml:space="preserve">Địa chỉ giao hàng </t>
    </r>
    <r>
      <rPr>
        <sz val="12"/>
        <color indexed="8"/>
        <rFont val="Times New Roman"/>
        <family val="1"/>
      </rPr>
      <t xml:space="preserve">:  36 Đường Miền Đông Cự Khê Thanh Oai Hà Nội </t>
    </r>
  </si>
  <si>
    <t>Khung bao vách , cửa 65</t>
  </si>
  <si>
    <t>Y6501</t>
  </si>
  <si>
    <t>cây</t>
  </si>
  <si>
    <t>Y6503</t>
  </si>
  <si>
    <t>Cánh cửa đi mở ngoài 65</t>
  </si>
  <si>
    <t>Y6507</t>
  </si>
  <si>
    <t>Đố động dùng chung 65</t>
  </si>
  <si>
    <t>Y6506</t>
  </si>
  <si>
    <t>Đố T chia vách 65</t>
  </si>
  <si>
    <t>Y6511</t>
  </si>
  <si>
    <t>Nối khung 65</t>
  </si>
  <si>
    <t>Che chân 65</t>
  </si>
  <si>
    <t>ALUK-6517</t>
  </si>
  <si>
    <t>Ngưỡng nhôm 65</t>
  </si>
  <si>
    <t>ALUK-6518</t>
  </si>
  <si>
    <t>Nẹp kính hộp 65</t>
  </si>
  <si>
    <t>Y6513</t>
  </si>
  <si>
    <t>Khung bao lùa 94</t>
  </si>
  <si>
    <t>VRE94-01</t>
  </si>
  <si>
    <t>Cánh cửa đi lùa 94</t>
  </si>
  <si>
    <t>VRE94-02</t>
  </si>
  <si>
    <t>Ray dưới 94</t>
  </si>
  <si>
    <t>VRE94-03</t>
  </si>
  <si>
    <t>Ôp móc 94</t>
  </si>
  <si>
    <t>VRE94-04</t>
  </si>
  <si>
    <t>Ôp khung bao 94</t>
  </si>
  <si>
    <t>VRE94-06</t>
  </si>
  <si>
    <t>Dẫn hướng trên 94</t>
  </si>
  <si>
    <t>LIN-DT21</t>
  </si>
  <si>
    <t xml:space="preserve">Dón cánh bên </t>
  </si>
  <si>
    <t>LIN-H17</t>
  </si>
  <si>
    <t xml:space="preserve">Khung bao vách </t>
  </si>
  <si>
    <t>C3209</t>
  </si>
  <si>
    <t>Nẹp kính đơn vách</t>
  </si>
  <si>
    <t>C3295</t>
  </si>
  <si>
    <t xml:space="preserve">Khung bao cửa sổ </t>
  </si>
  <si>
    <t>C3318</t>
  </si>
  <si>
    <t>C3319</t>
  </si>
  <si>
    <t>C3323</t>
  </si>
  <si>
    <t>C3328</t>
  </si>
  <si>
    <t xml:space="preserve">Cánh cửa sổ mở quay mới VRA </t>
  </si>
  <si>
    <t>VRA55-01</t>
  </si>
  <si>
    <t xml:space="preserve">Khung bao cửa đi </t>
  </si>
  <si>
    <t xml:space="preserve">Cánh cửa đi mở ngoài mới VRA </t>
  </si>
  <si>
    <t>VRA55-03</t>
  </si>
  <si>
    <t xml:space="preserve">Đố động dùng chung </t>
  </si>
  <si>
    <t xml:space="preserve">Đố T chia khung cửa sổ </t>
  </si>
  <si>
    <t>C3313</t>
  </si>
  <si>
    <t xml:space="preserve">Đố T chia vách </t>
  </si>
  <si>
    <t>C3203</t>
  </si>
  <si>
    <t xml:space="preserve">Ngưỡng nhôm </t>
  </si>
  <si>
    <t xml:space="preserve">Nẹp kính đơn cánh </t>
  </si>
  <si>
    <t>SH6002</t>
  </si>
  <si>
    <t xml:space="preserve">Lật khung </t>
  </si>
  <si>
    <t>C3208</t>
  </si>
  <si>
    <r>
      <t xml:space="preserve">Màu sắc </t>
    </r>
    <r>
      <rPr>
        <sz val="12"/>
        <color indexed="8"/>
        <rFont val="Times New Roman"/>
        <family val="1"/>
      </rPr>
      <t xml:space="preserve">: Xám Sần Metalic </t>
    </r>
  </si>
  <si>
    <r>
      <t xml:space="preserve">Địa chỉ giao hàng </t>
    </r>
    <r>
      <rPr>
        <sz val="12"/>
        <color indexed="8"/>
        <rFont val="Times New Roman"/>
        <family val="1"/>
      </rPr>
      <t xml:space="preserve">:  Số 36 Đường Miền Đông Cự Khê Thanh Oai Hà Nội </t>
    </r>
  </si>
  <si>
    <r>
      <t xml:space="preserve">Công trình </t>
    </r>
    <r>
      <rPr>
        <sz val="12"/>
        <color indexed="8"/>
        <rFont val="Times New Roman"/>
        <family val="1"/>
      </rPr>
      <t xml:space="preserve">:  Mr Mậu - Yên Nghĩa </t>
    </r>
  </si>
  <si>
    <r>
      <t xml:space="preserve">Mã Đơn Hàng </t>
    </r>
    <r>
      <rPr>
        <sz val="12"/>
        <color indexed="8"/>
        <rFont val="Times New Roman"/>
        <family val="1"/>
      </rPr>
      <t>:</t>
    </r>
  </si>
  <si>
    <t>KE 14*42</t>
  </si>
  <si>
    <t xml:space="preserve">Ke tomahok khung bao sổ </t>
  </si>
  <si>
    <t xml:space="preserve">cái </t>
  </si>
  <si>
    <t>KE 25*43</t>
  </si>
  <si>
    <t xml:space="preserve">Ke tomahok cánh cửa sổ </t>
  </si>
  <si>
    <t>KE TC 11</t>
  </si>
  <si>
    <t>Ke tăng cứng xingfa 11</t>
  </si>
  <si>
    <t xml:space="preserve">Ke tomahok khung bao cửa đi  </t>
  </si>
  <si>
    <t>KE 31*42</t>
  </si>
  <si>
    <t>KE 36*42</t>
  </si>
  <si>
    <t xml:space="preserve">Ke tomahok cánh cửa đi </t>
  </si>
  <si>
    <t>GEDPM 2TP 55</t>
  </si>
  <si>
    <t>Gioanwg EDPM 2TP khung cánh 55</t>
  </si>
  <si>
    <t>cuộn</t>
  </si>
  <si>
    <t>BDĐ 55</t>
  </si>
  <si>
    <t xml:space="preserve">Bịt đố động xingfa 55 </t>
  </si>
  <si>
    <t xml:space="preserve">cặp </t>
  </si>
  <si>
    <t>KE 31*60</t>
  </si>
  <si>
    <t>Ke tomahok khung bao 65</t>
  </si>
  <si>
    <t>KE 36*60</t>
  </si>
  <si>
    <t xml:space="preserve">Ke tomahok cánh cửa đi 65 </t>
  </si>
  <si>
    <t>KE TC 22</t>
  </si>
  <si>
    <t xml:space="preserve">Ke tăng cứng khung 65 </t>
  </si>
  <si>
    <t>KE TC 16</t>
  </si>
  <si>
    <t>Ke tăng cứng cánh 65</t>
  </si>
  <si>
    <t>BDĐ 65</t>
  </si>
  <si>
    <t xml:space="preserve">Bịt đố động 65 </t>
  </si>
  <si>
    <t>GTG65</t>
  </si>
  <si>
    <t>Gioang trung gian 65</t>
  </si>
  <si>
    <t>m</t>
  </si>
  <si>
    <t xml:space="preserve">( lấy thêm 1 cuộn ) </t>
  </si>
  <si>
    <t>GKC 65</t>
  </si>
  <si>
    <t>Gioanwg khung cánh 65</t>
  </si>
  <si>
    <t>KE VC 14*42</t>
  </si>
  <si>
    <t>Ke vĩnh cửu khung bao cửa lùa 94</t>
  </si>
  <si>
    <t>KE VC 14*30</t>
  </si>
  <si>
    <t>Ke vĩnh cửu cánh cửa lùa 94</t>
  </si>
  <si>
    <t>GL7*5</t>
  </si>
  <si>
    <t xml:space="preserve">Gioanwg lông cửa lùa 7*5 </t>
  </si>
  <si>
    <t>BOM</t>
  </si>
  <si>
    <t>BHĐK</t>
  </si>
  <si>
    <t>Bịt hèm đón khóa 94</t>
  </si>
  <si>
    <t>Gioanwg bịt ốp móc cửa lùa 94</t>
  </si>
  <si>
    <t>RINOX</t>
  </si>
  <si>
    <t xml:space="preserve">Ray inox cửa lùa </t>
  </si>
  <si>
    <t>KE 14*52</t>
  </si>
  <si>
    <t xml:space="preserve">Ke vĩnh cửu khung vách </t>
  </si>
  <si>
    <t xml:space="preserve">KPU </t>
  </si>
  <si>
    <t xml:space="preserve">Keo PU ép góc </t>
  </si>
  <si>
    <t>lọ</t>
  </si>
  <si>
    <t>v</t>
  </si>
  <si>
    <t>Lấy vina</t>
  </si>
  <si>
    <t xml:space="preserve">có sẵn </t>
  </si>
  <si>
    <t xml:space="preserve">Lấy thêm 1 cuộn </t>
  </si>
  <si>
    <t>Vina</t>
  </si>
  <si>
    <t xml:space="preserve">  PHIẾU YÊU CẦU VẬT TƯ NHÔM </t>
  </si>
  <si>
    <t xml:space="preserve"> Ngày ..01..tháng ..12.. năm 2025</t>
  </si>
  <si>
    <r>
      <t xml:space="preserve">Địa chỉ giao hàng </t>
    </r>
    <r>
      <rPr>
        <sz val="12"/>
        <color indexed="8"/>
        <rFont val="Times New Roman"/>
        <family val="1"/>
      </rPr>
      <t>:  Số 36 Đường Miền Đông Cự Khê Thanh Oai Hà Nội , SDT : 0358824959</t>
    </r>
  </si>
  <si>
    <t xml:space="preserve">          Hà Nội, Ngày 01 tháng 12 năm 2025</t>
  </si>
  <si>
    <r>
      <t xml:space="preserve">Công trình </t>
    </r>
    <r>
      <rPr>
        <sz val="12"/>
        <color indexed="8"/>
        <rFont val="Times New Roman"/>
        <family val="1"/>
      </rPr>
      <t xml:space="preserve">: Mr Mậu - Mỹ Đình </t>
    </r>
  </si>
  <si>
    <t xml:space="preserve">          Hà Nội, Ngày  01 tháng 12 năm 2025</t>
  </si>
  <si>
    <t>Số: 01-VRT12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</si>
</sst>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2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_(* #,##0_);_(* \(#,##0\);_(* &quot;-&quot;??_);_(@_)"/>
    <numFmt numFmtId="166" formatCode="#,##0.0;[Red]\-#,##0.0"/>
    <numFmt numFmtId="167" formatCode="&quot;\&quot;#,##0.00;[Red]&quot;\&quot;&quot;\&quot;&quot;\&quot;&quot;\&quot;&quot;\&quot;&quot;\&quot;\-#,##0.00"/>
    <numFmt numFmtId="168" formatCode="_-* #,##0\ _F_-;\-* #,##0\ _F_-;_-* &quot;-&quot;\ _F_-;_-@_-"/>
    <numFmt numFmtId="169" formatCode="&quot;\&quot;#,##0;[Red]&quot;\&quot;&quot;\&quot;\-#,##0"/>
    <numFmt numFmtId="170" formatCode="_ * #,##0.00_ ;_ * \-#,##0.00_ ;_ * &quot;-&quot;??_ ;_ @_ "/>
    <numFmt numFmtId="171" formatCode="_(&quot;Rp&quot;* #,##0_);_(&quot;Rp&quot;* \(#,##0\);_(&quot;Rp&quot;* &quot;-&quot;_);_(@_)"/>
    <numFmt numFmtId="172" formatCode="_(&quot;Rp&quot;* #,##0.00_);_(&quot;Rp&quot;* \(#,##0.00\);_(&quot;Rp&quot;* &quot;-&quot;??_);_(@_)"/>
    <numFmt numFmtId="173" formatCode="_-* #,##0_-;\-* #,##0_-;_-* &quot;-&quot;_-;_-@_-"/>
    <numFmt numFmtId="174" formatCode="&quot;\&quot;#,##0.00;[Red]&quot;\&quot;\-#,##0.00"/>
    <numFmt numFmtId="175" formatCode="_-&quot;Rp&quot;* #,##0_-;\-&quot;Rp&quot;* #,##0_-;_-&quot;Rp&quot;* &quot;-&quot;_-;_-@_-"/>
    <numFmt numFmtId="176" formatCode="_-* #,##0.00_-;\-* #,##0.00_-;_-* &quot;-&quot;??_-;_-@_-"/>
    <numFmt numFmtId="177" formatCode="&quot;\&quot;#,##0;[Red]&quot;\&quot;\-#,##0"/>
    <numFmt numFmtId="178" formatCode="_-&quot;Rp&quot;* #,##0.00_-;\-&quot;Rp&quot;* #,##0.00_-;_-&quot;Rp&quot;* &quot;-&quot;??_-;_-@_-"/>
    <numFmt numFmtId="179" formatCode="_-* #,##0&quot;Rp&quot;_-;_-* #,##0&quot;Rp&quot;\-;_-* &quot;-&quot;&quot;Rp&quot;_-;_-@_-"/>
    <numFmt numFmtId="180" formatCode="_-* #,##0\ &quot;F&quot;_-;\-* #,##0\ &quot;F&quot;_-;_-* &quot;-&quot;\ &quot;F&quot;_-;_-@_-"/>
    <numFmt numFmtId="181" formatCode="_-* #,##0\ &quot;Rp&quot;_-;\-* #,##0\ &quot;Rp&quot;_-;_-* &quot;-&quot;\ &quot;Rp&quot;_-;_-@_-"/>
    <numFmt numFmtId="182" formatCode="_-&quot;ñ&quot;* #,##0_-;\-&quot;ñ&quot;* #,##0_-;_-&quot;ñ&quot;* &quot;-&quot;_-;_-@_-"/>
    <numFmt numFmtId="183" formatCode="_-* #,##0.00_$_-;_-* #,##0.00_$\-;_-* &quot;-&quot;??_$_-;_-@_-"/>
    <numFmt numFmtId="184" formatCode="_-* #,##0.00\ _V_N_D_-;\-* #,##0.00\ _V_N_D_-;_-* &quot;-&quot;??\ _V_N_D_-;_-@_-"/>
    <numFmt numFmtId="185" formatCode="_-* #,##0.00\ _F_-;\-* #,##0.00\ _F_-;_-* &quot;-&quot;??\ _F_-;_-@_-"/>
    <numFmt numFmtId="186" formatCode="_-* #,##0.00\ _V_N_Ñ_-;_-* #,##0.00\ _V_N_Ñ\-;_-* &quot;-&quot;??\ _V_N_Ñ_-;_-@_-"/>
    <numFmt numFmtId="187" formatCode="_-* #,##0.00\ _ñ_-;\-* #,##0.00\ _ñ_-;_-* &quot;-&quot;??\ _ñ_-;_-@_-"/>
    <numFmt numFmtId="188" formatCode="_(&quot;Rp&quot;\ * #,##0_);_(&quot;Rp&quot;\ * \(#,##0\);_(&quot;Rp&quot;\ * &quot;-&quot;_);_(@_)"/>
    <numFmt numFmtId="189" formatCode="_-* #,##0\ &quot;ñ&quot;_-;\-* #,##0\ &quot;ñ&quot;_-;_-* &quot;-&quot;\ &quot;ñ&quot;_-;_-@_-"/>
    <numFmt numFmtId="190" formatCode="_-* #,##0_$_-;_-* #,##0_$\-;_-* &quot;-&quot;_$_-;_-@_-"/>
    <numFmt numFmtId="191" formatCode="_ * #,##0_ ;_ * \-#,##0_ ;_ * &quot;-&quot;_ ;_ @_ "/>
    <numFmt numFmtId="192" formatCode="_-* #,##0\ _V_N_D_-;\-* #,##0\ _V_N_D_-;_-* &quot;-&quot;\ _V_N_D_-;_-@_-"/>
    <numFmt numFmtId="193" formatCode="_-* #,##0\ _V_N_Ñ_-;_-* #,##0\ _V_N_Ñ\-;_-* &quot;-&quot;\ _V_N_Ñ_-;_-@_-"/>
    <numFmt numFmtId="194" formatCode="_-* #,##0\ _$_-;\-* #,##0\ _$_-;_-* &quot;-&quot;\ _$_-;_-@_-"/>
    <numFmt numFmtId="195" formatCode="_-* #,##0\ _ñ_-;\-* #,##0\ _ñ_-;_-* &quot;-&quot;\ _ñ_-;_-@_-"/>
    <numFmt numFmtId="196" formatCode="_-* #,##0\ _B_F_-;\-* #,##0\ _B_F_-;_-* &quot;-&quot;\ _B_F_-;_-@_-"/>
    <numFmt numFmtId="197" formatCode="0%;\(0%\)"/>
    <numFmt numFmtId="198" formatCode="0.0%"/>
    <numFmt numFmtId="199" formatCode="&quot;SFr.&quot;\ #,##0.00;[Red]&quot;SFr.&quot;\ \-#,##0.00"/>
    <numFmt numFmtId="200" formatCode="_ &quot;SFr.&quot;\ * #,##0_ ;_ &quot;SFr.&quot;\ * \-#,##0_ ;_ &quot;SFr.&quot;\ * &quot;-&quot;_ ;_ @_ "/>
    <numFmt numFmtId="201" formatCode="_ &quot;\&quot;* #,##0.00_ ;_ &quot;\&quot;* \-#,##0.00_ ;_ &quot;\&quot;* &quot;-&quot;??_ ;_ @_ "/>
    <numFmt numFmtId="202" formatCode="#,##0.0"/>
    <numFmt numFmtId="203" formatCode="#,##0.0_);\(#,##0.0\)"/>
    <numFmt numFmtId="204" formatCode="_(* #,##0.0000_);_(* \(#,##0.0000\);_(* &quot;-&quot;??_);_(@_)"/>
    <numFmt numFmtId="205" formatCode="0.0%;[Red]\(0.0%\)"/>
    <numFmt numFmtId="206" formatCode="_ * #,##0.00_)&quot;£&quot;_ ;_ * \(#,##0.00\)&quot;£&quot;_ ;_ * &quot;-&quot;??_)&quot;£&quot;_ ;_ @_ "/>
    <numFmt numFmtId="207" formatCode="0.0%;\(0.0%\)"/>
    <numFmt numFmtId="208" formatCode="_-* #,##0.00\ &quot;F&quot;_-;\-* #,##0.00\ &quot;F&quot;_-;_-* &quot;-&quot;??\ &quot;F&quot;_-;_-@_-"/>
    <numFmt numFmtId="209" formatCode="0.000_)"/>
    <numFmt numFmtId="210" formatCode="#,##0;\(#,##0\)"/>
    <numFmt numFmtId="211" formatCode="&quot;Rp&quot;#,##0_);\(&quot;Rp&quot;#,##0\)"/>
    <numFmt numFmtId="212" formatCode="&quot;Rp&quot;#,##0.00_);\(&quot;Rp&quot;#,##0.00\)"/>
    <numFmt numFmtId="213" formatCode="\$#,##0\ ;\(\$#,##0\)"/>
    <numFmt numFmtId="214" formatCode="\t0.00%"/>
    <numFmt numFmtId="215" formatCode="\U\S\$#,##0.00;\(\U\S\$#,##0.00\)"/>
    <numFmt numFmtId="216" formatCode="_-* #,##0\ _D_M_-;\-* #,##0\ _D_M_-;_-* &quot;-&quot;\ _D_M_-;_-@_-"/>
    <numFmt numFmtId="217" formatCode="_-* #,##0.00\ _D_M_-;\-* #,##0.00\ _D_M_-;_-* &quot;-&quot;??\ _D_M_-;_-@_-"/>
    <numFmt numFmtId="218" formatCode="\t#\ ??/??"/>
    <numFmt numFmtId="219" formatCode="_([$€-2]* #,##0.00_);_([$€-2]* \(#,##0.00\);_([$€-2]* &quot;-&quot;??_)"/>
    <numFmt numFmtId="220" formatCode="#,##0;\(#,##0\);&quot;-&quot;"/>
    <numFmt numFmtId="221" formatCode="0."/>
    <numFmt numFmtId="222" formatCode="_(* #,##0.000000_);_(* \(#,##0.000000\);_(* &quot;-&quot;??_);_(@_)"/>
    <numFmt numFmtId="223" formatCode=";;;"/>
    <numFmt numFmtId="224" formatCode="#,###"/>
    <numFmt numFmtId="225" formatCode="#,##0\ &quot;Rp&quot;_);[Red]\(#,##0\ &quot;Rp&quot;\)"/>
    <numFmt numFmtId="226" formatCode="&quot;Rp&quot;###,0&quot;.&quot;00_);[Red]\(&quot;Rp&quot;###,0&quot;.&quot;00\)"/>
    <numFmt numFmtId="227" formatCode="&quot;\&quot;#,##0;[Red]\-&quot;\&quot;#,##0"/>
    <numFmt numFmtId="228" formatCode="&quot;\&quot;#,##0.00;\-&quot;\&quot;#,##0.00"/>
    <numFmt numFmtId="229" formatCode="*x"/>
    <numFmt numFmtId="230" formatCode="0.00_)"/>
    <numFmt numFmtId="231" formatCode="_-* #,##0.00\ _m_k_-;\-* #,##0.00\ _m_k_-;_-* &quot;-&quot;??\ _m_k_-;_-@_-"/>
    <numFmt numFmtId="232" formatCode="_-* #,##0\ _m_k_-;\-* #,##0\ _m_k_-;_-* &quot;-&quot;\ _m_k_-;_-@_-"/>
    <numFmt numFmtId="233" formatCode="#,##0.000_);\(#,##0.000\)"/>
    <numFmt numFmtId="234" formatCode="###0.00000000_);[Red]\(###0.00000000\)"/>
    <numFmt numFmtId="235" formatCode="_-* #,##0\ _€_-;\-* #,##0\ _€_-;_-* &quot;-&quot;\ _€_-;_-@_-"/>
    <numFmt numFmtId="236" formatCode="_ * #,##0_-_V_N_Ñ_ ;_ * #,##0\-_V_N_Ñ_ ;_ * &quot;-&quot;_-_V_N_Ñ_ ;_ @_ "/>
    <numFmt numFmtId="237" formatCode="_ * #,##0_)\ _$_ ;_ * \(#,##0\)\ _$_ ;_ * &quot;-&quot;_)\ _$_ ;_ @_ "/>
    <numFmt numFmtId="238" formatCode="_-* #,##0\ &quot;€&quot;_-;\-* #,##0\ &quot;€&quot;_-;_-* &quot;-&quot;\ &quot;€&quot;_-;_-@_-"/>
    <numFmt numFmtId="239" formatCode="_ * #,##0_)\ &quot;Rp&quot;_ ;_ * \(#,##0\)\ &quot;Rp&quot;_ ;_ * &quot;-&quot;_)\ &quot;Rp&quot;_ ;_ @_ "/>
    <numFmt numFmtId="240" formatCode="_ * #,##0_)\ &quot;€&quot;_ ;_ * \(#,##0\)\ &quot;€&quot;_ ;_ * &quot;-&quot;_)\ &quot;€&quot;_ ;_ @_ "/>
    <numFmt numFmtId="241" formatCode="_(&quot;€&quot;\ * #,##0_);_(&quot;€&quot;\ * \(#,##0\);_(&quot;€&quot;\ * &quot;-&quot;_);_(@_)"/>
    <numFmt numFmtId="242" formatCode="#,##0.00\ &quot;F&quot;;[Red]\-#,##0.00\ &quot;F&quot;"/>
    <numFmt numFmtId="243" formatCode="&quot;£&quot;#,##0;[Red]\-&quot;£&quot;#,##0"/>
    <numFmt numFmtId="244" formatCode="#,##0\ &quot;F&quot;;\-#,##0\ &quot;F&quot;"/>
    <numFmt numFmtId="245" formatCode="#,##0\ &quot;F&quot;;[Red]\-#,##0\ &quot;F&quot;"/>
    <numFmt numFmtId="246" formatCode="0000"/>
    <numFmt numFmtId="247" formatCode="00"/>
    <numFmt numFmtId="248" formatCode="000"/>
    <numFmt numFmtId="249" formatCode="#,##0.00\ &quot;F&quot;;\-#,##0.00\ &quot;F&quot;"/>
    <numFmt numFmtId="250" formatCode="&quot;Rp&quot;#,##0_);[Red]\(&quot;Rp&quot;#,##0\)"/>
    <numFmt numFmtId="251" formatCode="_-* #,##0\ &quot;DM&quot;_-;\-* #,##0\ &quot;DM&quot;_-;_-* &quot;-&quot;\ &quot;DM&quot;_-;_-@_-"/>
    <numFmt numFmtId="252" formatCode="_-* #,##0.00\ &quot;DM&quot;_-;\-* #,##0.00\ &quot;DM&quot;_-;_-* &quot;-&quot;??\ &quot;DM&quot;_-;_-@_-"/>
    <numFmt numFmtId="253" formatCode="&quot;\&quot;#,##0;&quot;\&quot;&quot;\&quot;&quot;\&quot;&quot;\&quot;\-#,##0"/>
    <numFmt numFmtId="254" formatCode="#,##0;[Red]&quot;-&quot;#,##0"/>
    <numFmt numFmtId="255" formatCode="&quot;\&quot;#,##0;[Red]&quot;\&quot;&quot;\&quot;&quot;\&quot;&quot;\&quot;\-#,##0"/>
    <numFmt numFmtId="256" formatCode="0.00000"/>
    <numFmt numFmtId="257" formatCode="#,##0.0_ "/>
    <numFmt numFmtId="258" formatCode="&quot;\&quot;#,##0.00;&quot;\&quot;&quot;\&quot;&quot;\&quot;&quot;\&quot;\-#,##0.00"/>
    <numFmt numFmtId="259" formatCode="#,##0.00_ "/>
    <numFmt numFmtId="260" formatCode="_ * #,##0_ ;_ * \-#,##0_ ;_ * &quot;-&quot;??_ ;_ @_ "/>
    <numFmt numFmtId="261" formatCode="#,##0_ "/>
    <numFmt numFmtId="262" formatCode="_-* #,##0\ _€_-;\-* #,##0\ _€_-;_-* &quot;-&quot;??\ _€_-;_-@_-"/>
    <numFmt numFmtId="263" formatCode="_-* #,##0.0\ _€_-;\-* #,##0.0\ _€_-;_-* &quot;-&quot;??\ _€_-;_-@_-"/>
  </numFmts>
  <fonts count="196"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2"/>
      <name val=".VnTime"/>
      <family val="2"/>
    </font>
    <font>
      <sz val="9"/>
      <name val="ﾀﾞｯﾁ"/>
      <family val="3"/>
      <charset val="128"/>
    </font>
    <font>
      <sz val="12"/>
      <name val="VNtimes new roman"/>
      <family val="2"/>
    </font>
    <font>
      <sz val="10"/>
      <name val="VNI-Times"/>
    </font>
    <font>
      <sz val="10"/>
      <name val=".VnArial"/>
      <family val="2"/>
    </font>
    <font>
      <sz val="16"/>
      <name val="AngsanaUPC"/>
      <family val="3"/>
    </font>
    <font>
      <sz val="12"/>
      <name val="????"/>
      <family val="1"/>
      <charset val="136"/>
    </font>
    <font>
      <sz val="11"/>
      <name val="??"/>
      <family val="3"/>
      <charset val="129"/>
    </font>
    <font>
      <sz val="12"/>
      <name val="???"/>
      <family val="1"/>
      <charset val="129"/>
    </font>
    <font>
      <sz val="12"/>
      <name val="|??¢¥¢¬¨Ï"/>
      <family val="1"/>
      <charset val="129"/>
    </font>
    <font>
      <sz val="12"/>
      <name val="__"/>
      <family val="1"/>
      <charset val="129"/>
    </font>
    <font>
      <sz val="14"/>
      <name val="__"/>
      <family val="3"/>
      <charset val="129"/>
    </font>
    <font>
      <sz val="12"/>
      <name val="___"/>
      <family val="1"/>
      <charset val="129"/>
    </font>
    <font>
      <sz val="12"/>
      <name val="____"/>
      <charset val="136"/>
    </font>
    <font>
      <sz val="10"/>
      <name val="___"/>
      <family val="3"/>
      <charset val="129"/>
    </font>
    <font>
      <sz val="12"/>
      <name val="___"/>
      <family val="3"/>
    </font>
    <font>
      <sz val="10"/>
      <name val="Helv"/>
      <family val="2"/>
    </font>
    <font>
      <sz val="10"/>
      <name val="MS Sans Serif"/>
      <family val="2"/>
    </font>
    <font>
      <sz val="10"/>
      <name val=".VnTime"/>
      <family val="2"/>
    </font>
    <font>
      <sz val="12"/>
      <name val="VNTime"/>
    </font>
    <font>
      <sz val="12"/>
      <name val="VNI-Times"/>
    </font>
    <font>
      <sz val="14"/>
      <name val="‚l‚r –¾’©"/>
      <family val="1"/>
      <charset val="128"/>
    </font>
    <font>
      <u/>
      <sz val="8.25"/>
      <color indexed="36"/>
      <name val="‚l‚r ‚oƒSƒVƒbƒN"/>
      <family val="3"/>
      <charset val="128"/>
    </font>
    <font>
      <sz val="14"/>
      <name val="lr ¾©"/>
      <family val="1"/>
      <charset val="128"/>
    </font>
    <font>
      <sz val="13"/>
      <name val="Tms Rmn"/>
      <family val="1"/>
    </font>
    <font>
      <b/>
      <u/>
      <sz val="14"/>
      <color indexed="8"/>
      <name val=".VnBook-AntiquaH"/>
      <family val="2"/>
    </font>
    <font>
      <sz val="10"/>
      <name val="VnTimes"/>
      <family val="2"/>
    </font>
    <font>
      <sz val="12"/>
      <color indexed="10"/>
      <name val=".VnArial Narrow"/>
      <family val="2"/>
    </font>
    <font>
      <sz val="12"/>
      <color indexed="8"/>
      <name val="¹ÙÅÁÃ¼"/>
      <family val="1"/>
      <charset val="129"/>
    </font>
    <font>
      <i/>
      <sz val="12"/>
      <color indexed="8"/>
      <name val=".VnBook-AntiquaH"/>
      <family val="2"/>
    </font>
    <font>
      <sz val="11"/>
      <color indexed="8"/>
      <name val="Calibri"/>
      <family val="2"/>
      <charset val="22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1"/>
      <color indexed="9"/>
      <name val="Calibri"/>
      <family val="2"/>
      <charset val="22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2"/>
      <name val="¹ÙÅÁÃ¼"/>
      <charset val="129"/>
    </font>
    <font>
      <sz val="9"/>
      <name val="ＭＳ ゴシック"/>
      <family val="3"/>
      <charset val="128"/>
    </font>
    <font>
      <sz val="8"/>
      <name val="Times New Roman"/>
      <family val="1"/>
    </font>
    <font>
      <sz val="12"/>
      <name val="Tms Rmn"/>
    </font>
    <font>
      <sz val="10"/>
      <name val="Times New Roman"/>
      <family val="1"/>
    </font>
    <font>
      <sz val="11"/>
      <name val="µ¸¿ò"/>
      <charset val="129"/>
    </font>
    <font>
      <sz val="10"/>
      <name val="Helv"/>
    </font>
    <font>
      <b/>
      <sz val="10"/>
      <name val="Helv"/>
    </font>
    <font>
      <b/>
      <sz val="13"/>
      <name val="Tms Rmn"/>
      <family val="1"/>
    </font>
    <font>
      <sz val="11"/>
      <name val="Tms Rmn"/>
    </font>
    <font>
      <sz val="11"/>
      <name val="VNI-Times"/>
    </font>
    <font>
      <sz val="10"/>
      <name val="MS Serif"/>
      <family val="1"/>
    </font>
    <font>
      <sz val="10"/>
      <name val="Courier"/>
      <family val="3"/>
    </font>
    <font>
      <sz val="10"/>
      <name val="VNI-Aptima"/>
    </font>
    <font>
      <sz val="10"/>
      <color indexed="8"/>
      <name val="Arial"/>
      <family val="2"/>
    </font>
    <font>
      <sz val="12"/>
      <name val="Arial"/>
      <family val="2"/>
    </font>
    <font>
      <sz val="12"/>
      <name val="Tms Rmn"/>
      <family val="1"/>
    </font>
    <font>
      <sz val="10"/>
      <color indexed="16"/>
      <name val="MS Serif"/>
      <family val="1"/>
    </font>
    <font>
      <sz val="8"/>
      <name val="Verdana"/>
      <family val="2"/>
    </font>
    <font>
      <b/>
      <sz val="16"/>
      <name val="Arial"/>
      <family val="2"/>
    </font>
    <font>
      <sz val="18"/>
      <color indexed="24"/>
      <name val="Times New Roman"/>
      <family val="1"/>
    </font>
    <font>
      <sz val="8"/>
      <color indexed="24"/>
      <name val="Times New Roman"/>
      <family val="1"/>
    </font>
    <font>
      <i/>
      <sz val="12"/>
      <color indexed="24"/>
      <name val="Times New Roman"/>
      <family val="1"/>
    </font>
    <font>
      <sz val="12"/>
      <color indexed="24"/>
      <name val="Arial"/>
      <family val="2"/>
    </font>
    <font>
      <sz val="12"/>
      <color indexed="24"/>
      <name val="Times New Roman"/>
      <family val="1"/>
    </font>
    <font>
      <sz val="8"/>
      <color indexed="24"/>
      <name val="Arial"/>
      <family val="2"/>
    </font>
    <font>
      <i/>
      <sz val="12"/>
      <color indexed="24"/>
      <name val="Arial"/>
      <family val="2"/>
    </font>
    <font>
      <u/>
      <sz val="8.25"/>
      <color indexed="12"/>
      <name val="‚l‚r ‚oƒSƒVƒbƒN"/>
      <family val="3"/>
      <charset val="128"/>
    </font>
    <font>
      <sz val="8"/>
      <name val="Arial"/>
      <family val="2"/>
    </font>
    <font>
      <b/>
      <sz val="12"/>
      <name val=".VnBook-AntiquaH"/>
      <family val="2"/>
    </font>
    <font>
      <b/>
      <sz val="12"/>
      <color indexed="9"/>
      <name val="Tms Rmn"/>
    </font>
    <font>
      <b/>
      <sz val="12"/>
      <name val="Helv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Tahoma"/>
      <family val="2"/>
    </font>
    <font>
      <b/>
      <sz val="8"/>
      <name val="MS Sans Serif"/>
      <family val="2"/>
    </font>
    <font>
      <b/>
      <sz val="10"/>
      <name val=".VnTime"/>
      <family val="2"/>
    </font>
    <font>
      <b/>
      <sz val="14"/>
      <name val=".VnTimeH"/>
      <family val="2"/>
    </font>
    <font>
      <sz val="10"/>
      <name val="Tahoma"/>
      <family val="2"/>
    </font>
    <font>
      <sz val="12"/>
      <name val="Helv"/>
    </font>
    <font>
      <sz val="12"/>
      <color indexed="9"/>
      <name val="Helv"/>
    </font>
    <font>
      <b/>
      <sz val="11"/>
      <name val="Helv"/>
    </font>
    <font>
      <sz val="10"/>
      <name val=".VnAvant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</font>
    <font>
      <sz val="12"/>
      <name val="바탕체"/>
      <family val="1"/>
      <charset val="129"/>
    </font>
    <font>
      <sz val="11"/>
      <name val="Arial MT"/>
    </font>
    <font>
      <sz val="14"/>
      <name val="System"/>
      <family val="2"/>
    </font>
    <font>
      <b/>
      <sz val="11"/>
      <name val="Arial"/>
      <family val="2"/>
    </font>
    <font>
      <sz val="13"/>
      <name val=".VnTime"/>
      <family val="2"/>
    </font>
    <font>
      <sz val="12"/>
      <color indexed="8"/>
      <name val="Times New Roman"/>
      <family val="1"/>
    </font>
    <font>
      <sz val="12"/>
      <name val="Helv"/>
      <family val="2"/>
    </font>
    <font>
      <sz val="10"/>
      <color indexed="9"/>
      <name val="Arial"/>
      <family val="2"/>
    </font>
    <font>
      <b/>
      <sz val="10"/>
      <name val="MS Sans Serif"/>
      <family val="2"/>
    </font>
    <font>
      <sz val="8"/>
      <name val="Wingdings"/>
      <charset val="2"/>
    </font>
    <font>
      <b/>
      <sz val="12"/>
      <color indexed="9"/>
      <name val="Arial"/>
      <family val="2"/>
    </font>
    <font>
      <b/>
      <sz val="12"/>
      <name val="宋体"/>
      <charset val="134"/>
    </font>
    <font>
      <sz val="8"/>
      <name val="MS Sans Serif"/>
      <family val="2"/>
    </font>
    <font>
      <sz val="11"/>
      <color indexed="32"/>
      <name val="VNI-Times"/>
    </font>
    <font>
      <b/>
      <sz val="14"/>
      <color indexed="8"/>
      <name val=".VnArial"/>
      <family val="2"/>
    </font>
    <font>
      <b/>
      <sz val="10"/>
      <color indexed="8"/>
      <name val="Tahoma"/>
      <family val="2"/>
    </font>
    <font>
      <b/>
      <sz val="12"/>
      <color indexed="8"/>
      <name val="Tahoma"/>
      <family val="2"/>
    </font>
    <font>
      <sz val="10"/>
      <color indexed="8"/>
      <name val=".VnArial"/>
      <family val="2"/>
    </font>
    <font>
      <b/>
      <i/>
      <sz val="10"/>
      <color indexed="8"/>
      <name val="Arial"/>
      <family val="2"/>
    </font>
    <font>
      <b/>
      <sz val="10"/>
      <name val="Tahoma"/>
      <family val="2"/>
    </font>
    <font>
      <b/>
      <sz val="8"/>
      <color indexed="8"/>
      <name val="Helv"/>
    </font>
    <font>
      <sz val="10"/>
      <name val="Symbol"/>
      <family val="1"/>
      <charset val="2"/>
    </font>
    <font>
      <sz val="14"/>
      <name val=".VnTime"/>
      <family val="2"/>
    </font>
    <font>
      <b/>
      <sz val="11"/>
      <name val="Times New Roman"/>
      <family val="1"/>
    </font>
    <font>
      <sz val="12"/>
      <name val="VNTime"/>
      <family val="2"/>
    </font>
    <font>
      <sz val="12"/>
      <name val=".VnArial"/>
      <family val="2"/>
    </font>
    <font>
      <sz val="10"/>
      <name val="VNtimes new roman"/>
      <family val="2"/>
    </font>
    <font>
      <b/>
      <sz val="8"/>
      <name val="VN Helvetica"/>
    </font>
    <font>
      <sz val="9"/>
      <name val=".VnTime"/>
      <family val="2"/>
    </font>
    <font>
      <b/>
      <sz val="12"/>
      <name val=".VnTime"/>
      <family val="2"/>
    </font>
    <font>
      <b/>
      <sz val="10"/>
      <name val="VN AvantGBook"/>
    </font>
    <font>
      <b/>
      <sz val="16"/>
      <name val=".VnTime"/>
      <family val="2"/>
    </font>
    <font>
      <sz val="14"/>
      <name val=".VnArial"/>
      <family val="2"/>
    </font>
    <font>
      <sz val="22"/>
      <name val="ＭＳ 明朝"/>
      <family val="1"/>
      <charset val="128"/>
    </font>
    <font>
      <b/>
      <sz val="11"/>
      <color indexed="9"/>
      <name val="Calibri"/>
      <family val="2"/>
      <charset val="222"/>
    </font>
    <font>
      <sz val="11"/>
      <color indexed="52"/>
      <name val="Calibri"/>
      <family val="2"/>
      <charset val="222"/>
    </font>
    <font>
      <sz val="11"/>
      <color indexed="20"/>
      <name val="Calibri"/>
      <family val="2"/>
      <charset val="222"/>
    </font>
    <font>
      <b/>
      <sz val="11"/>
      <color indexed="63"/>
      <name val="Calibri"/>
      <family val="2"/>
      <charset val="222"/>
    </font>
    <font>
      <b/>
      <sz val="11"/>
      <color indexed="52"/>
      <name val="Calibri"/>
      <family val="2"/>
      <charset val="222"/>
    </font>
    <font>
      <sz val="11"/>
      <color indexed="10"/>
      <name val="Calibri"/>
      <family val="2"/>
      <charset val="222"/>
    </font>
    <font>
      <i/>
      <sz val="11"/>
      <color indexed="23"/>
      <name val="Calibri"/>
      <family val="2"/>
      <charset val="222"/>
    </font>
    <font>
      <b/>
      <sz val="18"/>
      <color indexed="56"/>
      <name val="Cambria"/>
      <family val="2"/>
      <charset val="222"/>
    </font>
    <font>
      <sz val="11"/>
      <color indexed="17"/>
      <name val="Calibri"/>
      <family val="2"/>
      <charset val="222"/>
    </font>
    <font>
      <sz val="11"/>
      <color indexed="62"/>
      <name val="Calibri"/>
      <family val="2"/>
      <charset val="222"/>
    </font>
    <font>
      <sz val="11"/>
      <color indexed="60"/>
      <name val="Calibri"/>
      <family val="2"/>
      <charset val="222"/>
    </font>
    <font>
      <b/>
      <sz val="11"/>
      <color indexed="8"/>
      <name val="Calibri"/>
      <family val="2"/>
      <charset val="222"/>
    </font>
    <font>
      <sz val="14"/>
      <name val="Cordia New"/>
      <family val="2"/>
    </font>
    <font>
      <b/>
      <sz val="15"/>
      <color indexed="56"/>
      <name val="Calibri"/>
      <family val="2"/>
      <charset val="222"/>
    </font>
    <font>
      <b/>
      <sz val="13"/>
      <color indexed="56"/>
      <name val="Calibri"/>
      <family val="2"/>
      <charset val="222"/>
    </font>
    <font>
      <b/>
      <sz val="11"/>
      <color indexed="56"/>
      <name val="Calibri"/>
      <family val="2"/>
      <charset val="222"/>
    </font>
    <font>
      <sz val="10"/>
      <name val=" "/>
      <family val="1"/>
      <charset val="136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2"/>
      <color indexed="8"/>
      <name val="바탕체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VNI-Centur"/>
      <family val="1"/>
    </font>
    <font>
      <sz val="12"/>
      <name val="굴림체"/>
      <family val="3"/>
      <charset val="129"/>
    </font>
    <font>
      <sz val="12"/>
      <name val="宋体"/>
      <family val="3"/>
      <charset val="134"/>
    </font>
    <font>
      <u/>
      <sz val="10"/>
      <color indexed="14"/>
      <name val="MS Sans Serif"/>
      <family val="2"/>
    </font>
    <font>
      <u/>
      <sz val="9"/>
      <color indexed="36"/>
      <name val="新細明體"/>
      <family val="1"/>
      <charset val="136"/>
    </font>
    <font>
      <sz val="12"/>
      <name val="新細明體"/>
      <family val="1"/>
      <charset val="136"/>
    </font>
    <font>
      <sz val="12"/>
      <name val="宋体"/>
      <charset val="134"/>
    </font>
    <font>
      <sz val="12"/>
      <name val="Courier"/>
      <family val="3"/>
    </font>
    <font>
      <u/>
      <sz val="10"/>
      <color indexed="12"/>
      <name val="MS Sans Serif"/>
      <family val="2"/>
    </font>
    <font>
      <u/>
      <sz val="9"/>
      <color indexed="12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u/>
      <sz val="12"/>
      <color indexed="36"/>
      <name val="新細明體"/>
      <family val="1"/>
      <charset val="136"/>
    </font>
    <font>
      <sz val="10"/>
      <name val="明朝"/>
      <family val="1"/>
      <charset val="128"/>
    </font>
    <font>
      <sz val="11"/>
      <color theme="1"/>
      <name val="Calibri"/>
      <family val="2"/>
      <charset val="163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2"/>
      <name val="Times New Roman"/>
      <family val="1"/>
    </font>
    <font>
      <sz val="10"/>
      <name val="Arial"/>
      <family val="2"/>
      <charset val="163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12"/>
      <name val="Times New Roman"/>
      <family val="1"/>
      <charset val="163"/>
    </font>
    <font>
      <b/>
      <sz val="10"/>
      <name val="Times New Roman"/>
      <family val="1"/>
    </font>
    <font>
      <sz val="10"/>
      <color theme="1"/>
      <name val="Calibri"/>
      <family val="2"/>
      <scheme val="minor"/>
    </font>
    <font>
      <sz val="10"/>
      <color indexed="8"/>
      <name val="Times New Roman"/>
      <family val="1"/>
    </font>
    <font>
      <sz val="11"/>
      <color theme="1"/>
      <name val="Calibri"/>
      <family val="2"/>
      <scheme val="minor"/>
    </font>
    <font>
      <i/>
      <sz val="12"/>
      <color indexed="8"/>
      <name val="Cambria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6"/>
      <name val="Times New Roman"/>
      <family val="1"/>
    </font>
    <font>
      <sz val="11"/>
      <name val="Times New Roman"/>
      <family val="1"/>
      <charset val="163"/>
    </font>
    <font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i/>
      <sz val="14"/>
      <color indexed="8"/>
      <name val="Cambria"/>
      <family val="1"/>
    </font>
    <font>
      <sz val="14"/>
      <color indexed="8"/>
      <name val="Times New Roman"/>
      <family val="1"/>
    </font>
    <font>
      <b/>
      <sz val="9"/>
      <name val="Times New Roman"/>
      <family val="1"/>
    </font>
    <font>
      <b/>
      <sz val="9"/>
      <color theme="1"/>
      <name val="Calibri"/>
      <family val="2"/>
      <scheme val="minor"/>
    </font>
    <font>
      <b/>
      <sz val="10"/>
      <color indexed="8"/>
      <name val="Times New Roman"/>
      <family val="1"/>
    </font>
    <font>
      <b/>
      <sz val="15"/>
      <name val="Times New Roman"/>
      <family val="1"/>
    </font>
    <font>
      <sz val="12"/>
      <color theme="1"/>
      <name val="Times New Roman"/>
      <family val="1"/>
    </font>
    <font>
      <b/>
      <i/>
      <sz val="12"/>
      <name val="Times New Roman"/>
      <family val="1"/>
    </font>
    <font>
      <sz val="9"/>
      <name val="Times New Roman"/>
      <family val="1"/>
    </font>
    <font>
      <sz val="9"/>
      <color indexed="8"/>
      <name val="Times New Roman"/>
      <family val="1"/>
    </font>
  </fonts>
  <fills count="4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Vertical"/>
    </fill>
    <fill>
      <patternFill patternType="solid">
        <fgColor indexed="63"/>
      </patternFill>
    </fill>
    <fill>
      <patternFill patternType="solid">
        <fgColor indexed="35"/>
        <bgColor indexed="64"/>
      </patternFill>
    </fill>
    <fill>
      <patternFill patternType="gray125">
        <fgColor indexed="3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0"/>
      </right>
      <top/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hair">
        <color indexed="44"/>
      </bottom>
      <diagonal/>
    </border>
    <border>
      <left/>
      <right/>
      <top style="hair">
        <color indexed="44"/>
      </top>
      <bottom style="hair">
        <color indexed="4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916">
    <xf numFmtId="0" fontId="0" fillId="0" borderId="0"/>
    <xf numFmtId="166" fontId="4" fillId="0" borderId="0" applyFont="0" applyFill="0" applyBorder="0" applyAlignment="0" applyProtection="0"/>
    <xf numFmtId="0" fontId="9" fillId="0" borderId="0" applyNumberForma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38" fontId="10" fillId="0" borderId="0" applyFont="0" applyFill="0" applyBorder="0" applyAlignment="0" applyProtection="0"/>
    <xf numFmtId="165" fontId="11" fillId="0" borderId="1" applyFont="0" applyBorder="0"/>
    <xf numFmtId="167" fontId="4" fillId="0" borderId="0" applyFont="0" applyFill="0" applyBorder="0" applyAlignment="0" applyProtection="0"/>
    <xf numFmtId="168" fontId="12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170" fontId="13" fillId="0" borderId="0" applyFont="0" applyFill="0" applyBorder="0" applyAlignment="0" applyProtection="0"/>
    <xf numFmtId="171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0" fontId="14" fillId="0" borderId="0"/>
    <xf numFmtId="173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8" fillId="0" borderId="0"/>
    <xf numFmtId="0" fontId="4" fillId="0" borderId="0" applyNumberFormat="0" applyFill="0" applyBorder="0" applyAlignment="0" applyProtection="0"/>
    <xf numFmtId="0" fontId="19" fillId="0" borderId="0"/>
    <xf numFmtId="0" fontId="20" fillId="0" borderId="0" applyFont="0" applyFill="0" applyBorder="0" applyAlignment="0" applyProtection="0"/>
    <xf numFmtId="169" fontId="4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22" fillId="0" borderId="0" applyFont="0" applyFill="0" applyBorder="0" applyAlignment="0" applyProtection="0"/>
    <xf numFmtId="0" fontId="23" fillId="0" borderId="0"/>
    <xf numFmtId="173" fontId="22" fillId="0" borderId="0" applyFont="0" applyFill="0" applyBorder="0" applyAlignment="0" applyProtection="0"/>
    <xf numFmtId="40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9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67" fontId="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 applyFont="0" applyFill="0" applyBorder="0" applyAlignment="0" applyProtection="0"/>
    <xf numFmtId="0" fontId="25" fillId="0" borderId="0"/>
    <xf numFmtId="171" fontId="1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79" fontId="12" fillId="0" borderId="0" applyFont="0" applyFill="0" applyBorder="0" applyAlignment="0" applyProtection="0"/>
    <xf numFmtId="180" fontId="29" fillId="0" borderId="0" applyFont="0" applyFill="0" applyBorder="0" applyAlignment="0" applyProtection="0"/>
    <xf numFmtId="181" fontId="12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 applyNumberFormat="0" applyFill="0" applyBorder="0" applyAlignment="0" applyProtection="0"/>
    <xf numFmtId="179" fontId="1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5" fillId="0" borderId="0"/>
    <xf numFmtId="0" fontId="27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0" fontId="2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9" fontId="12" fillId="0" borderId="0" applyFont="0" applyFill="0" applyBorder="0" applyAlignment="0" applyProtection="0"/>
    <xf numFmtId="175" fontId="29" fillId="0" borderId="0" applyFont="0" applyFill="0" applyBorder="0" applyAlignment="0" applyProtection="0"/>
    <xf numFmtId="175" fontId="29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5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83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86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7" fontId="12" fillId="0" borderId="0" applyFont="0" applyFill="0" applyBorder="0" applyAlignment="0" applyProtection="0"/>
    <xf numFmtId="173" fontId="29" fillId="0" borderId="0" applyFont="0" applyFill="0" applyBorder="0" applyAlignment="0" applyProtection="0"/>
    <xf numFmtId="179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180" fontId="29" fillId="0" borderId="0" applyFont="0" applyFill="0" applyBorder="0" applyAlignment="0" applyProtection="0"/>
    <xf numFmtId="18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8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86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7" fontId="12" fillId="0" borderId="0" applyFont="0" applyFill="0" applyBorder="0" applyAlignment="0" applyProtection="0"/>
    <xf numFmtId="176" fontId="29" fillId="0" borderId="0" applyFont="0" applyFill="0" applyBorder="0" applyAlignment="0" applyProtection="0"/>
    <xf numFmtId="190" fontId="12" fillId="0" borderId="0" applyFont="0" applyFill="0" applyBorder="0" applyAlignment="0" applyProtection="0"/>
    <xf numFmtId="191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90" fontId="12" fillId="0" borderId="0" applyFont="0" applyFill="0" applyBorder="0" applyAlignment="0" applyProtection="0"/>
    <xf numFmtId="193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91" fontId="12" fillId="0" borderId="0" applyFont="0" applyFill="0" applyBorder="0" applyAlignment="0" applyProtection="0"/>
    <xf numFmtId="168" fontId="29" fillId="0" borderId="0" applyFont="0" applyFill="0" applyBorder="0" applyAlignment="0" applyProtection="0"/>
    <xf numFmtId="194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5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180" fontId="29" fillId="0" borderId="0" applyFont="0" applyFill="0" applyBorder="0" applyAlignment="0" applyProtection="0"/>
    <xf numFmtId="18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8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73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90" fontId="12" fillId="0" borderId="0" applyFont="0" applyFill="0" applyBorder="0" applyAlignment="0" applyProtection="0"/>
    <xf numFmtId="191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90" fontId="12" fillId="0" borderId="0" applyFont="0" applyFill="0" applyBorder="0" applyAlignment="0" applyProtection="0"/>
    <xf numFmtId="193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91" fontId="12" fillId="0" borderId="0" applyFont="0" applyFill="0" applyBorder="0" applyAlignment="0" applyProtection="0"/>
    <xf numFmtId="168" fontId="29" fillId="0" borderId="0" applyFont="0" applyFill="0" applyBorder="0" applyAlignment="0" applyProtection="0"/>
    <xf numFmtId="194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5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86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7" fontId="12" fillId="0" borderId="0" applyFont="0" applyFill="0" applyBorder="0" applyAlignment="0" applyProtection="0"/>
    <xf numFmtId="173" fontId="29" fillId="0" borderId="0" applyFont="0" applyFill="0" applyBorder="0" applyAlignment="0" applyProtection="0"/>
    <xf numFmtId="175" fontId="29" fillId="0" borderId="0" applyFont="0" applyFill="0" applyBorder="0" applyAlignment="0" applyProtection="0"/>
    <xf numFmtId="175" fontId="29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5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9" fontId="1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0" fontId="25" fillId="0" borderId="0"/>
    <xf numFmtId="180" fontId="12" fillId="0" borderId="0" applyFont="0" applyFill="0" applyBorder="0" applyAlignment="0" applyProtection="0"/>
    <xf numFmtId="188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9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5" fillId="0" borderId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3" fontId="29" fillId="0" borderId="0" applyFont="0" applyFill="0" applyBorder="0" applyAlignment="0" applyProtection="0"/>
    <xf numFmtId="190" fontId="12" fillId="0" borderId="0" applyFont="0" applyFill="0" applyBorder="0" applyAlignment="0" applyProtection="0"/>
    <xf numFmtId="191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90" fontId="12" fillId="0" borderId="0" applyFont="0" applyFill="0" applyBorder="0" applyAlignment="0" applyProtection="0"/>
    <xf numFmtId="193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91" fontId="12" fillId="0" borderId="0" applyFont="0" applyFill="0" applyBorder="0" applyAlignment="0" applyProtection="0"/>
    <xf numFmtId="168" fontId="29" fillId="0" borderId="0" applyFont="0" applyFill="0" applyBorder="0" applyAlignment="0" applyProtection="0"/>
    <xf numFmtId="194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5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86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7" fontId="12" fillId="0" borderId="0" applyFont="0" applyFill="0" applyBorder="0" applyAlignment="0" applyProtection="0"/>
    <xf numFmtId="175" fontId="29" fillId="0" borderId="0" applyFont="0" applyFill="0" applyBorder="0" applyAlignment="0" applyProtection="0"/>
    <xf numFmtId="175" fontId="29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5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1" fontId="12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5" fillId="0" borderId="0"/>
    <xf numFmtId="0" fontId="25" fillId="0" borderId="0"/>
    <xf numFmtId="0" fontId="30" fillId="0" borderId="0"/>
    <xf numFmtId="0" fontId="31" fillId="0" borderId="0" applyNumberFormat="0" applyFill="0" applyBorder="0" applyAlignment="0" applyProtection="0">
      <alignment vertical="top"/>
      <protection locked="0"/>
    </xf>
    <xf numFmtId="0" fontId="4" fillId="0" borderId="0"/>
    <xf numFmtId="37" fontId="32" fillId="0" borderId="0"/>
    <xf numFmtId="197" fontId="33" fillId="0" borderId="0" applyFont="0" applyFill="0" applyBorder="0" applyAlignment="0" applyProtection="0"/>
    <xf numFmtId="198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0" fontId="34" fillId="2" borderId="0"/>
    <xf numFmtId="0" fontId="35" fillId="0" borderId="0"/>
    <xf numFmtId="0" fontId="36" fillId="3" borderId="3" applyFont="0" applyFill="0" applyAlignment="0">
      <alignment vertical="center" wrapText="1"/>
    </xf>
    <xf numFmtId="9" fontId="37" fillId="0" borderId="0" applyBorder="0" applyAlignment="0" applyProtection="0"/>
    <xf numFmtId="0" fontId="38" fillId="2" borderId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40" fillId="2" borderId="0"/>
    <xf numFmtId="0" fontId="41" fillId="0" borderId="0">
      <alignment wrapText="1"/>
    </xf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7" borderId="0" applyNumberFormat="0" applyBorder="0" applyAlignment="0" applyProtection="0"/>
    <xf numFmtId="0" fontId="39" fillId="10" borderId="0" applyNumberFormat="0" applyBorder="0" applyAlignment="0" applyProtection="0"/>
    <xf numFmtId="0" fontId="39" fillId="13" borderId="0" applyNumberFormat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2" fillId="14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9" fontId="12" fillId="0" borderId="4">
      <alignment horizontal="center"/>
    </xf>
    <xf numFmtId="37" fontId="4" fillId="22" borderId="5" applyFill="0" applyBorder="0" applyAlignment="0" applyProtection="0"/>
    <xf numFmtId="199" fontId="4" fillId="0" borderId="0" applyFont="0" applyFill="0" applyBorder="0" applyAlignment="0" applyProtection="0"/>
    <xf numFmtId="0" fontId="43" fillId="0" borderId="0" applyFont="0" applyFill="0" applyBorder="0" applyAlignment="0" applyProtection="0"/>
    <xf numFmtId="174" fontId="44" fillId="0" borderId="0" applyFont="0" applyFill="0" applyBorder="0" applyAlignment="0" applyProtection="0"/>
    <xf numFmtId="200" fontId="4" fillId="0" borderId="0" applyFont="0" applyFill="0" applyBorder="0" applyAlignment="0" applyProtection="0"/>
    <xf numFmtId="0" fontId="43" fillId="0" borderId="0" applyFont="0" applyFill="0" applyBorder="0" applyAlignment="0" applyProtection="0"/>
    <xf numFmtId="201" fontId="45" fillId="0" borderId="0" applyFont="0" applyFill="0" applyBorder="0" applyAlignment="0" applyProtection="0"/>
    <xf numFmtId="0" fontId="46" fillId="0" borderId="6" applyFont="0" applyFill="0" applyBorder="0" applyAlignment="0" applyProtection="0">
      <alignment horizontal="center" vertical="center"/>
    </xf>
    <xf numFmtId="0" fontId="8" fillId="0" borderId="7" applyNumberFormat="0" applyFill="0" applyBorder="0" applyProtection="0">
      <alignment vertical="center"/>
    </xf>
    <xf numFmtId="0" fontId="47" fillId="0" borderId="0">
      <alignment horizontal="center" wrapText="1"/>
      <protection locked="0"/>
    </xf>
    <xf numFmtId="191" fontId="45" fillId="0" borderId="0" applyFont="0" applyFill="0" applyBorder="0" applyAlignment="0" applyProtection="0"/>
    <xf numFmtId="0" fontId="43" fillId="0" borderId="0" applyFont="0" applyFill="0" applyBorder="0" applyAlignment="0" applyProtection="0"/>
    <xf numFmtId="191" fontId="45" fillId="0" borderId="0" applyFont="0" applyFill="0" applyBorder="0" applyAlignment="0" applyProtection="0"/>
    <xf numFmtId="170" fontId="45" fillId="0" borderId="0" applyFont="0" applyFill="0" applyBorder="0" applyAlignment="0" applyProtection="0"/>
    <xf numFmtId="0" fontId="43" fillId="0" borderId="0" applyFont="0" applyFill="0" applyBorder="0" applyAlignment="0" applyProtection="0"/>
    <xf numFmtId="170" fontId="45" fillId="0" borderId="0" applyFont="0" applyFill="0" applyBorder="0" applyAlignment="0" applyProtection="0"/>
    <xf numFmtId="175" fontId="29" fillId="0" borderId="0" applyFont="0" applyFill="0" applyBorder="0" applyAlignment="0" applyProtection="0"/>
    <xf numFmtId="202" fontId="4" fillId="0" borderId="8">
      <alignment wrapText="1"/>
      <protection locked="0"/>
    </xf>
    <xf numFmtId="0" fontId="48" fillId="0" borderId="0" applyNumberFormat="0" applyFill="0" applyBorder="0" applyAlignment="0" applyProtection="0"/>
    <xf numFmtId="0" fontId="43" fillId="0" borderId="0"/>
    <xf numFmtId="0" fontId="49" fillId="0" borderId="0"/>
    <xf numFmtId="0" fontId="43" fillId="0" borderId="0"/>
    <xf numFmtId="0" fontId="50" fillId="0" borderId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203" fontId="51" fillId="0" borderId="0" applyFill="0" applyBorder="0" applyAlignment="0"/>
    <xf numFmtId="204" fontId="51" fillId="0" borderId="0" applyFill="0" applyBorder="0" applyAlignment="0"/>
    <xf numFmtId="205" fontId="51" fillId="0" borderId="0" applyFill="0" applyBorder="0" applyAlignment="0"/>
    <xf numFmtId="206" fontId="4" fillId="0" borderId="0" applyFill="0" applyBorder="0" applyAlignment="0"/>
    <xf numFmtId="206" fontId="4" fillId="0" borderId="0" applyFill="0" applyBorder="0" applyAlignment="0"/>
    <xf numFmtId="206" fontId="4" fillId="0" borderId="0" applyFill="0" applyBorder="0" applyAlignment="0"/>
    <xf numFmtId="206" fontId="4" fillId="0" borderId="0" applyFill="0" applyBorder="0" applyAlignment="0"/>
    <xf numFmtId="206" fontId="4" fillId="0" borderId="0" applyFill="0" applyBorder="0" applyAlignment="0"/>
    <xf numFmtId="178" fontId="51" fillId="0" borderId="0" applyFill="0" applyBorder="0" applyAlignment="0"/>
    <xf numFmtId="207" fontId="51" fillId="0" borderId="0" applyFill="0" applyBorder="0" applyAlignment="0"/>
    <xf numFmtId="203" fontId="51" fillId="0" borderId="0" applyFill="0" applyBorder="0" applyAlignment="0"/>
    <xf numFmtId="0" fontId="52" fillId="0" borderId="0"/>
    <xf numFmtId="208" fontId="12" fillId="0" borderId="0" applyFont="0" applyFill="0" applyBorder="0" applyAlignment="0" applyProtection="0"/>
    <xf numFmtId="1" fontId="58" fillId="0" borderId="11" applyBorder="0"/>
    <xf numFmtId="0" fontId="53" fillId="0" borderId="12" applyNumberFormat="0" applyFill="0" applyProtection="0">
      <alignment horizontal="center"/>
    </xf>
    <xf numFmtId="209" fontId="54" fillId="0" borderId="0"/>
    <xf numFmtId="209" fontId="54" fillId="0" borderId="0"/>
    <xf numFmtId="209" fontId="54" fillId="0" borderId="0"/>
    <xf numFmtId="209" fontId="54" fillId="0" borderId="0"/>
    <xf numFmtId="209" fontId="54" fillId="0" borderId="0"/>
    <xf numFmtId="209" fontId="54" fillId="0" borderId="0"/>
    <xf numFmtId="209" fontId="54" fillId="0" borderId="0"/>
    <xf numFmtId="209" fontId="54" fillId="0" borderId="0"/>
    <xf numFmtId="0" fontId="55" fillId="0" borderId="8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178" fontId="5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210" fontId="49" fillId="0" borderId="0"/>
    <xf numFmtId="37" fontId="33" fillId="0" borderId="0" applyFont="0" applyFill="0" applyBorder="0" applyAlignment="0" applyProtection="0"/>
    <xf numFmtId="203" fontId="33" fillId="0" borderId="0" applyFont="0" applyFill="0" applyBorder="0" applyAlignment="0" applyProtection="0"/>
    <xf numFmtId="39" fontId="33" fillId="0" borderId="0" applyFont="0" applyFill="0" applyBorder="0" applyAlignment="0" applyProtection="0"/>
    <xf numFmtId="3" fontId="4" fillId="0" borderId="0" applyFont="0" applyFill="0" applyBorder="0" applyAlignment="0" applyProtection="0"/>
    <xf numFmtId="37" fontId="4" fillId="2" borderId="5" applyFill="0" applyBorder="0" applyAlignment="0" applyProtection="0"/>
    <xf numFmtId="0" fontId="56" fillId="0" borderId="0" applyNumberFormat="0" applyAlignment="0">
      <alignment horizontal="left"/>
    </xf>
    <xf numFmtId="0" fontId="57" fillId="0" borderId="0" applyNumberFormat="0" applyAlignment="0"/>
    <xf numFmtId="203" fontId="51" fillId="0" borderId="0" applyFont="0" applyFill="0" applyBorder="0" applyAlignment="0" applyProtection="0"/>
    <xf numFmtId="211" fontId="33" fillId="0" borderId="0" applyFont="0" applyFill="0" applyBorder="0" applyAlignment="0" applyProtection="0"/>
    <xf numFmtId="212" fontId="33" fillId="0" borderId="0" applyFont="0" applyFill="0" applyBorder="0" applyAlignment="0" applyProtection="0"/>
    <xf numFmtId="213" fontId="4" fillId="0" borderId="0" applyFont="0" applyFill="0" applyBorder="0" applyAlignment="0" applyProtection="0"/>
    <xf numFmtId="214" fontId="4" fillId="0" borderId="0"/>
    <xf numFmtId="0" fontId="6" fillId="2" borderId="0" applyNumberFormat="0" applyFont="0" applyFill="0" applyBorder="0" applyProtection="0">
      <alignment horizontal="left"/>
    </xf>
    <xf numFmtId="0" fontId="4" fillId="0" borderId="0" applyFont="0" applyFill="0" applyBorder="0" applyAlignment="0" applyProtection="0"/>
    <xf numFmtId="14" fontId="59" fillId="0" borderId="0" applyFill="0" applyBorder="0" applyAlignment="0"/>
    <xf numFmtId="0" fontId="60" fillId="0" borderId="0" applyProtection="0"/>
    <xf numFmtId="215" fontId="4" fillId="0" borderId="13">
      <alignment vertical="center"/>
    </xf>
    <xf numFmtId="216" fontId="4" fillId="0" borderId="0" applyFont="0" applyFill="0" applyBorder="0" applyAlignment="0" applyProtection="0"/>
    <xf numFmtId="217" fontId="4" fillId="0" borderId="0" applyFont="0" applyFill="0" applyBorder="0" applyAlignment="0" applyProtection="0"/>
    <xf numFmtId="218" fontId="4" fillId="0" borderId="0"/>
    <xf numFmtId="3" fontId="9" fillId="0" borderId="0" applyFont="0" applyBorder="0" applyAlignment="0"/>
    <xf numFmtId="0" fontId="61" fillId="0" borderId="0" applyNumberFormat="0" applyFill="0" applyBorder="0" applyAlignment="0" applyProtection="0"/>
    <xf numFmtId="0" fontId="12" fillId="0" borderId="0"/>
    <xf numFmtId="178" fontId="51" fillId="0" borderId="0" applyFill="0" applyBorder="0" applyAlignment="0"/>
    <xf numFmtId="203" fontId="51" fillId="0" borderId="0" applyFill="0" applyBorder="0" applyAlignment="0"/>
    <xf numFmtId="178" fontId="51" fillId="0" borderId="0" applyFill="0" applyBorder="0" applyAlignment="0"/>
    <xf numFmtId="207" fontId="51" fillId="0" borderId="0" applyFill="0" applyBorder="0" applyAlignment="0"/>
    <xf numFmtId="203" fontId="51" fillId="0" borderId="0" applyFill="0" applyBorder="0" applyAlignment="0"/>
    <xf numFmtId="0" fontId="62" fillId="0" borderId="0" applyNumberFormat="0" applyAlignment="0">
      <alignment horizontal="left"/>
    </xf>
    <xf numFmtId="219" fontId="63" fillId="0" borderId="0" applyFont="0" applyFill="0" applyBorder="0" applyAlignment="0" applyProtection="0"/>
    <xf numFmtId="220" fontId="64" fillId="0" borderId="0"/>
    <xf numFmtId="3" fontId="9" fillId="0" borderId="0" applyFont="0" applyBorder="0" applyAlignment="0"/>
    <xf numFmtId="0" fontId="65" fillId="0" borderId="0" applyProtection="0"/>
    <xf numFmtId="0" fontId="66" fillId="0" borderId="0" applyProtection="0"/>
    <xf numFmtId="0" fontId="67" fillId="0" borderId="0" applyProtection="0"/>
    <xf numFmtId="0" fontId="68" fillId="0" borderId="0" applyProtection="0"/>
    <xf numFmtId="0" fontId="69" fillId="0" borderId="0" applyNumberFormat="0" applyFont="0" applyFill="0" applyBorder="0" applyAlignment="0" applyProtection="0"/>
    <xf numFmtId="0" fontId="70" fillId="0" borderId="0" applyProtection="0"/>
    <xf numFmtId="0" fontId="71" fillId="0" borderId="0" applyProtection="0"/>
    <xf numFmtId="2" fontId="4" fillId="0" borderId="0" applyFont="0" applyFill="0" applyBorder="0" applyAlignment="0" applyProtection="0"/>
    <xf numFmtId="0" fontId="72" fillId="0" borderId="0" applyNumberFormat="0" applyFill="0" applyBorder="0" applyAlignment="0" applyProtection="0">
      <alignment vertical="top"/>
      <protection locked="0"/>
    </xf>
    <xf numFmtId="38" fontId="73" fillId="22" borderId="0" applyNumberFormat="0" applyBorder="0" applyAlignment="0" applyProtection="0"/>
    <xf numFmtId="0" fontId="74" fillId="0" borderId="0" applyNumberFormat="0" applyFont="0" applyBorder="0" applyAlignment="0">
      <alignment horizontal="left" vertical="center"/>
    </xf>
    <xf numFmtId="0" fontId="75" fillId="25" borderId="0"/>
    <xf numFmtId="0" fontId="76" fillId="0" borderId="0">
      <alignment horizontal="left"/>
    </xf>
    <xf numFmtId="0" fontId="77" fillId="0" borderId="14" applyNumberFormat="0" applyAlignment="0" applyProtection="0">
      <alignment horizontal="left" vertical="center"/>
    </xf>
    <xf numFmtId="37" fontId="78" fillId="26" borderId="0">
      <alignment vertical="center"/>
    </xf>
    <xf numFmtId="0" fontId="77" fillId="0" borderId="15">
      <alignment horizontal="left" vertical="center"/>
    </xf>
    <xf numFmtId="221" fontId="79" fillId="27" borderId="0">
      <alignment horizontal="left" vertical="top"/>
    </xf>
    <xf numFmtId="222" fontId="29" fillId="0" borderId="0">
      <protection locked="0"/>
    </xf>
    <xf numFmtId="222" fontId="29" fillId="0" borderId="0">
      <protection locked="0"/>
    </xf>
    <xf numFmtId="0" fontId="80" fillId="0" borderId="19">
      <alignment horizontal="center"/>
    </xf>
    <xf numFmtId="0" fontId="80" fillId="0" borderId="0">
      <alignment horizontal="center"/>
    </xf>
    <xf numFmtId="211" fontId="81" fillId="28" borderId="8" applyNumberFormat="0" applyAlignment="0">
      <alignment horizontal="left" vertical="top"/>
    </xf>
    <xf numFmtId="223" fontId="4" fillId="0" borderId="0" applyFont="0" applyFill="0" applyBorder="0" applyAlignment="0" applyProtection="0">
      <alignment vertical="top" wrapText="1"/>
    </xf>
    <xf numFmtId="223" fontId="46" fillId="0" borderId="0" applyFont="0" applyFill="0" applyBorder="0" applyAlignment="0" applyProtection="0">
      <alignment horizontal="center" vertical="center"/>
    </xf>
    <xf numFmtId="0" fontId="7" fillId="26" borderId="20" applyNumberFormat="0" applyFont="0" applyBorder="0" applyAlignment="0">
      <alignment vertical="center"/>
    </xf>
    <xf numFmtId="0" fontId="7" fillId="29" borderId="21" applyNumberFormat="0" applyFont="0" applyBorder="0" applyAlignment="0"/>
    <xf numFmtId="49" fontId="82" fillId="0" borderId="8">
      <alignment vertical="center"/>
    </xf>
    <xf numFmtId="41" fontId="12" fillId="0" borderId="0" applyFont="0" applyFill="0" applyBorder="0" applyAlignment="0" applyProtection="0"/>
    <xf numFmtId="0" fontId="83" fillId="27" borderId="0">
      <alignment horizontal="left" wrapText="1" indent="2"/>
    </xf>
    <xf numFmtId="10" fontId="73" fillId="22" borderId="8" applyNumberFormat="0" applyBorder="0" applyAlignment="0" applyProtection="0"/>
    <xf numFmtId="203" fontId="84" fillId="30" borderId="0"/>
    <xf numFmtId="210" fontId="4" fillId="2" borderId="21" applyFill="0" applyBorder="0" applyAlignment="0"/>
    <xf numFmtId="210" fontId="4" fillId="2" borderId="21" applyFill="0" applyBorder="0" applyAlignment="0"/>
    <xf numFmtId="210" fontId="4" fillId="2" borderId="21" applyFill="0" applyBorder="0" applyAlignment="0"/>
    <xf numFmtId="210" fontId="4" fillId="2" borderId="21" applyFill="0" applyBorder="0" applyAlignment="0"/>
    <xf numFmtId="210" fontId="4" fillId="2" borderId="21" applyFill="0" applyBorder="0" applyAlignment="0"/>
    <xf numFmtId="0" fontId="26" fillId="0" borderId="0"/>
    <xf numFmtId="37" fontId="6" fillId="0" borderId="0" applyFont="0" applyFill="0" applyBorder="0" applyAlignment="0"/>
    <xf numFmtId="0" fontId="26" fillId="0" borderId="0"/>
    <xf numFmtId="178" fontId="51" fillId="0" borderId="0" applyFill="0" applyBorder="0" applyAlignment="0"/>
    <xf numFmtId="203" fontId="51" fillId="0" borderId="0" applyFill="0" applyBorder="0" applyAlignment="0"/>
    <xf numFmtId="178" fontId="51" fillId="0" borderId="0" applyFill="0" applyBorder="0" applyAlignment="0"/>
    <xf numFmtId="207" fontId="51" fillId="0" borderId="0" applyFill="0" applyBorder="0" applyAlignment="0"/>
    <xf numFmtId="203" fontId="51" fillId="0" borderId="0" applyFill="0" applyBorder="0" applyAlignment="0"/>
    <xf numFmtId="203" fontId="85" fillId="31" borderId="0"/>
    <xf numFmtId="0" fontId="46" fillId="0" borderId="0" applyFont="0" applyFill="0" applyBorder="0" applyProtection="0">
      <alignment horizontal="center" vertical="center"/>
    </xf>
    <xf numFmtId="38" fontId="26" fillId="0" borderId="0" applyFont="0" applyFill="0" applyBorder="0" applyAlignment="0" applyProtection="0"/>
    <xf numFmtId="40" fontId="26" fillId="0" borderId="0" applyFont="0" applyFill="0" applyBorder="0" applyAlignment="0" applyProtection="0"/>
    <xf numFmtId="17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86" fillId="0" borderId="19"/>
    <xf numFmtId="224" fontId="87" fillId="0" borderId="23"/>
    <xf numFmtId="175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225" fontId="26" fillId="0" borderId="0" applyFont="0" applyFill="0" applyBorder="0" applyAlignment="0" applyProtection="0"/>
    <xf numFmtId="226" fontId="26" fillId="0" borderId="0" applyFont="0" applyFill="0" applyBorder="0" applyAlignment="0" applyProtection="0"/>
    <xf numFmtId="227" fontId="4" fillId="0" borderId="0" applyFont="0" applyFill="0" applyBorder="0" applyAlignment="0" applyProtection="0"/>
    <xf numFmtId="228" fontId="4" fillId="0" borderId="0" applyFont="0" applyFill="0" applyBorder="0" applyAlignment="0" applyProtection="0"/>
    <xf numFmtId="0" fontId="60" fillId="0" borderId="0" applyNumberFormat="0" applyFont="0" applyFill="0" applyAlignment="0"/>
    <xf numFmtId="0" fontId="49" fillId="0" borderId="0"/>
    <xf numFmtId="37" fontId="88" fillId="0" borderId="0"/>
    <xf numFmtId="229" fontId="4" fillId="26" borderId="24" applyFont="0" applyBorder="0">
      <alignment horizontal="center" vertical="center"/>
    </xf>
    <xf numFmtId="0" fontId="89" fillId="0" borderId="8" applyNumberFormat="0" applyFont="0" applyFill="0" applyBorder="0" applyAlignment="0">
      <alignment horizontal="center"/>
    </xf>
    <xf numFmtId="230" fontId="90" fillId="0" borderId="0"/>
    <xf numFmtId="0" fontId="91" fillId="0" borderId="0"/>
    <xf numFmtId="0" fontId="1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37" fontId="92" fillId="0" borderId="0"/>
    <xf numFmtId="3" fontId="93" fillId="0" borderId="0" applyFont="0" applyFill="0" applyBorder="0" applyAlignment="0" applyProtection="0"/>
    <xf numFmtId="231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" fillId="0" borderId="0" applyFont="0" applyFill="0" applyBorder="0" applyAlignment="0" applyProtection="0"/>
    <xf numFmtId="0" fontId="49" fillId="0" borderId="0"/>
    <xf numFmtId="3" fontId="4" fillId="2" borderId="5" applyFill="0" applyBorder="0" applyAlignment="0" applyProtection="0">
      <alignment vertical="top"/>
    </xf>
    <xf numFmtId="0" fontId="96" fillId="22" borderId="0"/>
    <xf numFmtId="0" fontId="55" fillId="0" borderId="0"/>
    <xf numFmtId="14" fontId="47" fillId="0" borderId="0">
      <alignment horizontal="center" wrapText="1"/>
      <protection locked="0"/>
    </xf>
    <xf numFmtId="206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233" fontId="4" fillId="0" borderId="0" applyFont="0" applyFill="0" applyBorder="0" applyAlignment="0" applyProtection="0"/>
    <xf numFmtId="233" fontId="4" fillId="0" borderId="0" applyFont="0" applyFill="0" applyBorder="0" applyAlignment="0" applyProtection="0"/>
    <xf numFmtId="233" fontId="4" fillId="0" borderId="0" applyFont="0" applyFill="0" applyBorder="0" applyAlignment="0" applyProtection="0"/>
    <xf numFmtId="233" fontId="4" fillId="0" borderId="0" applyFont="0" applyFill="0" applyBorder="0" applyAlignment="0" applyProtection="0"/>
    <xf numFmtId="233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6" fillId="0" borderId="27" applyNumberFormat="0" applyBorder="0"/>
    <xf numFmtId="178" fontId="51" fillId="0" borderId="0" applyFill="0" applyBorder="0" applyAlignment="0"/>
    <xf numFmtId="203" fontId="51" fillId="0" borderId="0" applyFill="0" applyBorder="0" applyAlignment="0"/>
    <xf numFmtId="178" fontId="51" fillId="0" borderId="0" applyFill="0" applyBorder="0" applyAlignment="0"/>
    <xf numFmtId="207" fontId="51" fillId="0" borderId="0" applyFill="0" applyBorder="0" applyAlignment="0"/>
    <xf numFmtId="203" fontId="51" fillId="0" borderId="0" applyFill="0" applyBorder="0" applyAlignment="0"/>
    <xf numFmtId="0" fontId="97" fillId="0" borderId="0"/>
    <xf numFmtId="0" fontId="98" fillId="0" borderId="0" applyFont="0" applyFill="0" applyBorder="0" applyAlignment="0" applyProtection="0"/>
    <xf numFmtId="0" fontId="26" fillId="0" borderId="0" applyNumberFormat="0" applyFont="0" applyFill="0" applyBorder="0" applyAlignment="0" applyProtection="0">
      <alignment horizontal="left"/>
    </xf>
    <xf numFmtId="0" fontId="99" fillId="0" borderId="19">
      <alignment horizontal="center"/>
    </xf>
    <xf numFmtId="0" fontId="100" fillId="34" borderId="0" applyNumberFormat="0" applyFont="0" applyBorder="0" applyAlignment="0">
      <alignment horizontal="center"/>
    </xf>
    <xf numFmtId="234" fontId="4" fillId="0" borderId="0" applyNumberFormat="0" applyFill="0" applyBorder="0" applyAlignment="0" applyProtection="0">
      <alignment horizontal="left"/>
    </xf>
    <xf numFmtId="234" fontId="4" fillId="0" borderId="0" applyNumberFormat="0" applyFill="0" applyBorder="0" applyAlignment="0" applyProtection="0">
      <alignment horizontal="left"/>
    </xf>
    <xf numFmtId="234" fontId="4" fillId="0" borderId="0" applyNumberFormat="0" applyFill="0" applyBorder="0" applyAlignment="0" applyProtection="0">
      <alignment horizontal="left"/>
    </xf>
    <xf numFmtId="234" fontId="4" fillId="0" borderId="0" applyNumberFormat="0" applyFill="0" applyBorder="0" applyAlignment="0" applyProtection="0">
      <alignment horizontal="left"/>
    </xf>
    <xf numFmtId="234" fontId="4" fillId="0" borderId="0" applyNumberFormat="0" applyFill="0" applyBorder="0" applyAlignment="0" applyProtection="0">
      <alignment horizontal="left"/>
    </xf>
    <xf numFmtId="41" fontId="1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" fontId="101" fillId="35" borderId="28" applyNumberFormat="0" applyProtection="0">
      <alignment horizontal="left" vertical="center" indent="1"/>
    </xf>
    <xf numFmtId="3" fontId="60" fillId="22" borderId="29" applyProtection="0">
      <alignment horizontal="right" vertical="center"/>
    </xf>
    <xf numFmtId="4" fontId="7" fillId="27" borderId="28" applyNumberFormat="0" applyProtection="0">
      <alignment horizontal="left" vertical="center" wrapText="1" indent="1"/>
    </xf>
    <xf numFmtId="0" fontId="100" fillId="1" borderId="15" applyNumberFormat="0" applyFont="0" applyAlignment="0">
      <alignment horizontal="center"/>
    </xf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>
      <alignment horizontal="center"/>
    </xf>
    <xf numFmtId="0" fontId="4" fillId="0" borderId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7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235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19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235" fontId="12" fillId="0" borderId="0" applyFont="0" applyFill="0" applyBorder="0" applyAlignment="0" applyProtection="0"/>
    <xf numFmtId="190" fontId="12" fillId="0" borderId="0" applyFont="0" applyFill="0" applyBorder="0" applyAlignment="0" applyProtection="0"/>
    <xf numFmtId="193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91" fontId="12" fillId="0" borderId="0" applyFont="0" applyFill="0" applyBorder="0" applyAlignment="0" applyProtection="0"/>
    <xf numFmtId="191" fontId="12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237" fontId="12" fillId="0" borderId="0" applyFont="0" applyFill="0" applyBorder="0" applyAlignment="0" applyProtection="0"/>
    <xf numFmtId="235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194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9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5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5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190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238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180" fontId="29" fillId="0" borderId="0" applyFont="0" applyFill="0" applyBorder="0" applyAlignment="0" applyProtection="0"/>
    <xf numFmtId="193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238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239" fontId="12" fillId="0" borderId="0" applyFont="0" applyFill="0" applyBorder="0" applyAlignment="0" applyProtection="0"/>
    <xf numFmtId="240" fontId="12" fillId="0" borderId="0" applyFont="0" applyFill="0" applyBorder="0" applyAlignment="0" applyProtection="0"/>
    <xf numFmtId="239" fontId="12" fillId="0" borderId="0" applyFont="0" applyFill="0" applyBorder="0" applyAlignment="0" applyProtection="0"/>
    <xf numFmtId="180" fontId="29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90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238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8" fontId="12" fillId="0" borderId="0" applyFont="0" applyFill="0" applyBorder="0" applyAlignment="0" applyProtection="0"/>
    <xf numFmtId="241" fontId="12" fillId="0" borderId="0" applyFont="0" applyFill="0" applyBorder="0" applyAlignment="0" applyProtection="0"/>
    <xf numFmtId="188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88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238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180" fontId="29" fillId="0" borderId="0" applyFont="0" applyFill="0" applyBorder="0" applyAlignment="0" applyProtection="0"/>
    <xf numFmtId="181" fontId="12" fillId="0" borderId="0" applyFont="0" applyFill="0" applyBorder="0" applyAlignment="0" applyProtection="0"/>
    <xf numFmtId="238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191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239" fontId="12" fillId="0" borderId="0" applyFont="0" applyFill="0" applyBorder="0" applyAlignment="0" applyProtection="0"/>
    <xf numFmtId="240" fontId="12" fillId="0" borderId="0" applyFont="0" applyFill="0" applyBorder="0" applyAlignment="0" applyProtection="0"/>
    <xf numFmtId="239" fontId="12" fillId="0" borderId="0" applyFont="0" applyFill="0" applyBorder="0" applyAlignment="0" applyProtection="0"/>
    <xf numFmtId="180" fontId="29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191" fontId="12" fillId="0" borderId="0" applyFont="0" applyFill="0" applyBorder="0" applyAlignment="0" applyProtection="0"/>
    <xf numFmtId="238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8" fontId="12" fillId="0" borderId="0" applyFont="0" applyFill="0" applyBorder="0" applyAlignment="0" applyProtection="0"/>
    <xf numFmtId="241" fontId="12" fillId="0" borderId="0" applyFont="0" applyFill="0" applyBorder="0" applyAlignment="0" applyProtection="0"/>
    <xf numFmtId="188" fontId="12" fillId="0" borderId="0" applyFont="0" applyFill="0" applyBorder="0" applyAlignment="0" applyProtection="0"/>
    <xf numFmtId="188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237" fontId="12" fillId="0" borderId="0" applyFont="0" applyFill="0" applyBorder="0" applyAlignment="0" applyProtection="0"/>
    <xf numFmtId="235" fontId="12" fillId="0" borderId="0" applyFont="0" applyFill="0" applyBorder="0" applyAlignment="0" applyProtection="0"/>
    <xf numFmtId="194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5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5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95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6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90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35" fontId="12" fillId="0" borderId="0" applyFont="0" applyFill="0" applyBorder="0" applyAlignment="0" applyProtection="0"/>
    <xf numFmtId="0" fontId="104" fillId="0" borderId="0"/>
    <xf numFmtId="0" fontId="59" fillId="0" borderId="0" applyNumberFormat="0" applyBorder="0" applyAlignment="0"/>
    <xf numFmtId="0" fontId="105" fillId="0" borderId="0" applyNumberFormat="0" applyBorder="0" applyAlignment="0"/>
    <xf numFmtId="0" fontId="106" fillId="0" borderId="0" applyNumberFormat="0" applyBorder="0" applyAlignment="0"/>
    <xf numFmtId="0" fontId="107" fillId="0" borderId="0" applyNumberFormat="0" applyBorder="0" applyAlignment="0"/>
    <xf numFmtId="0" fontId="108" fillId="0" borderId="0" applyNumberFormat="0" applyBorder="0" applyAlignment="0"/>
    <xf numFmtId="0" fontId="109" fillId="0" borderId="0" applyNumberFormat="0" applyBorder="0" applyAlignment="0"/>
    <xf numFmtId="0" fontId="86" fillId="0" borderId="0"/>
    <xf numFmtId="0" fontId="110" fillId="27" borderId="0">
      <alignment wrapText="1"/>
    </xf>
    <xf numFmtId="40" fontId="111" fillId="0" borderId="0" applyBorder="0">
      <alignment horizontal="right"/>
    </xf>
    <xf numFmtId="0" fontId="112" fillId="0" borderId="0"/>
    <xf numFmtId="242" fontId="95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3" fontId="113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42" fontId="95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227" fontId="9" fillId="0" borderId="30">
      <alignment horizontal="right" vertical="center"/>
    </xf>
    <xf numFmtId="37" fontId="59" fillId="0" borderId="0" applyBorder="0" applyAlignment="0" applyProtection="0"/>
    <xf numFmtId="49" fontId="59" fillId="0" borderId="0" applyFill="0" applyBorder="0" applyAlignment="0"/>
    <xf numFmtId="244" fontId="4" fillId="0" borderId="0" applyFill="0" applyBorder="0" applyAlignment="0"/>
    <xf numFmtId="244" fontId="4" fillId="0" borderId="0" applyFill="0" applyBorder="0" applyAlignment="0"/>
    <xf numFmtId="244" fontId="4" fillId="0" borderId="0" applyFill="0" applyBorder="0" applyAlignment="0"/>
    <xf numFmtId="244" fontId="4" fillId="0" borderId="0" applyFill="0" applyBorder="0" applyAlignment="0"/>
    <xf numFmtId="244" fontId="4" fillId="0" borderId="0" applyFill="0" applyBorder="0" applyAlignment="0"/>
    <xf numFmtId="245" fontId="4" fillId="0" borderId="0" applyFill="0" applyBorder="0" applyAlignment="0"/>
    <xf numFmtId="245" fontId="4" fillId="0" borderId="0" applyFill="0" applyBorder="0" applyAlignment="0"/>
    <xf numFmtId="245" fontId="4" fillId="0" borderId="0" applyFill="0" applyBorder="0" applyAlignment="0"/>
    <xf numFmtId="245" fontId="4" fillId="0" borderId="0" applyFill="0" applyBorder="0" applyAlignment="0"/>
    <xf numFmtId="245" fontId="4" fillId="0" borderId="0" applyFill="0" applyBorder="0" applyAlignment="0"/>
    <xf numFmtId="37" fontId="59" fillId="0" borderId="0" applyBorder="0" applyAlignment="0" applyProtection="0"/>
    <xf numFmtId="180" fontId="95" fillId="0" borderId="30">
      <alignment horizontal="center"/>
    </xf>
    <xf numFmtId="0" fontId="115" fillId="0" borderId="2"/>
    <xf numFmtId="180" fontId="95" fillId="0" borderId="30">
      <alignment horizontal="center"/>
    </xf>
    <xf numFmtId="0" fontId="116" fillId="0" borderId="0">
      <alignment vertical="center" wrapText="1"/>
      <protection locked="0"/>
    </xf>
    <xf numFmtId="0" fontId="28" fillId="0" borderId="2"/>
    <xf numFmtId="0" fontId="115" fillId="0" borderId="2"/>
    <xf numFmtId="0" fontId="28" fillId="0" borderId="2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40" fontId="114" fillId="0" borderId="0"/>
    <xf numFmtId="0" fontId="87" fillId="0" borderId="32" applyNumberFormat="0" applyAlignment="0">
      <alignment horizont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246" fontId="4" fillId="0" borderId="33" applyFont="0" applyFill="0" applyBorder="0" applyProtection="0">
      <alignment horizontal="center"/>
      <protection locked="0"/>
    </xf>
    <xf numFmtId="246" fontId="4" fillId="0" borderId="33" applyFont="0" applyFill="0" applyBorder="0" applyProtection="0">
      <alignment horizontal="center"/>
      <protection locked="0"/>
    </xf>
    <xf numFmtId="246" fontId="4" fillId="0" borderId="33" applyFont="0" applyFill="0" applyBorder="0" applyProtection="0">
      <alignment horizontal="center"/>
      <protection locked="0"/>
    </xf>
    <xf numFmtId="246" fontId="4" fillId="0" borderId="33" applyFont="0" applyFill="0" applyBorder="0" applyProtection="0">
      <alignment horizontal="center"/>
      <protection locked="0"/>
    </xf>
    <xf numFmtId="246" fontId="4" fillId="0" borderId="33" applyFont="0" applyFill="0" applyBorder="0" applyProtection="0">
      <alignment horizontal="center"/>
      <protection locked="0"/>
    </xf>
    <xf numFmtId="247" fontId="6" fillId="0" borderId="34" applyFont="0" applyFill="0" applyBorder="0" applyProtection="0">
      <alignment horizontal="center"/>
    </xf>
    <xf numFmtId="38" fontId="4" fillId="0" borderId="8" applyFont="0" applyFill="0" applyBorder="0" applyAlignment="0" applyProtection="0">
      <protection locked="0"/>
    </xf>
    <xf numFmtId="38" fontId="4" fillId="0" borderId="8" applyFont="0" applyFill="0" applyBorder="0" applyAlignment="0" applyProtection="0">
      <protection locked="0"/>
    </xf>
    <xf numFmtId="38" fontId="4" fillId="0" borderId="8" applyFont="0" applyFill="0" applyBorder="0" applyAlignment="0" applyProtection="0">
      <protection locked="0"/>
    </xf>
    <xf numFmtId="38" fontId="4" fillId="0" borderId="8" applyFont="0" applyFill="0" applyBorder="0" applyAlignment="0" applyProtection="0">
      <protection locked="0"/>
    </xf>
    <xf numFmtId="38" fontId="4" fillId="0" borderId="8" applyFont="0" applyFill="0" applyBorder="0" applyAlignment="0" applyProtection="0">
      <protection locked="0"/>
    </xf>
    <xf numFmtId="15" fontId="4" fillId="0" borderId="8" applyFont="0" applyFill="0" applyBorder="0" applyProtection="0">
      <alignment horizontal="center"/>
      <protection locked="0"/>
    </xf>
    <xf numFmtId="15" fontId="4" fillId="0" borderId="8" applyFont="0" applyFill="0" applyBorder="0" applyProtection="0">
      <alignment horizontal="center"/>
      <protection locked="0"/>
    </xf>
    <xf numFmtId="15" fontId="4" fillId="0" borderId="8" applyFont="0" applyFill="0" applyBorder="0" applyProtection="0">
      <alignment horizontal="center"/>
      <protection locked="0"/>
    </xf>
    <xf numFmtId="15" fontId="4" fillId="0" borderId="8" applyFont="0" applyFill="0" applyBorder="0" applyProtection="0">
      <alignment horizontal="center"/>
      <protection locked="0"/>
    </xf>
    <xf numFmtId="15" fontId="4" fillId="0" borderId="8" applyFont="0" applyFill="0" applyBorder="0" applyProtection="0">
      <alignment horizontal="center"/>
      <protection locked="0"/>
    </xf>
    <xf numFmtId="10" fontId="4" fillId="0" borderId="8" applyFont="0" applyFill="0" applyBorder="0" applyProtection="0">
      <alignment horizontal="center"/>
      <protection locked="0"/>
    </xf>
    <xf numFmtId="10" fontId="4" fillId="0" borderId="8" applyFont="0" applyFill="0" applyBorder="0" applyProtection="0">
      <alignment horizontal="center"/>
      <protection locked="0"/>
    </xf>
    <xf numFmtId="10" fontId="4" fillId="0" borderId="8" applyFont="0" applyFill="0" applyBorder="0" applyProtection="0">
      <alignment horizontal="center"/>
      <protection locked="0"/>
    </xf>
    <xf numFmtId="10" fontId="4" fillId="0" borderId="8" applyFont="0" applyFill="0" applyBorder="0" applyProtection="0">
      <alignment horizontal="center"/>
      <protection locked="0"/>
    </xf>
    <xf numFmtId="10" fontId="4" fillId="0" borderId="8" applyFont="0" applyFill="0" applyBorder="0" applyProtection="0">
      <alignment horizontal="center"/>
      <protection locked="0"/>
    </xf>
    <xf numFmtId="248" fontId="4" fillId="0" borderId="8" applyFont="0" applyFill="0" applyBorder="0" applyProtection="0">
      <alignment horizontal="center"/>
    </xf>
    <xf numFmtId="248" fontId="4" fillId="0" borderId="8" applyFont="0" applyFill="0" applyBorder="0" applyProtection="0">
      <alignment horizontal="center"/>
    </xf>
    <xf numFmtId="248" fontId="4" fillId="0" borderId="8" applyFont="0" applyFill="0" applyBorder="0" applyProtection="0">
      <alignment horizontal="center"/>
    </xf>
    <xf numFmtId="248" fontId="4" fillId="0" borderId="8" applyFont="0" applyFill="0" applyBorder="0" applyProtection="0">
      <alignment horizontal="center"/>
    </xf>
    <xf numFmtId="248" fontId="4" fillId="0" borderId="8" applyFont="0" applyFill="0" applyBorder="0" applyProtection="0">
      <alignment horizontal="center"/>
    </xf>
    <xf numFmtId="175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245" fontId="95" fillId="0" borderId="0"/>
    <xf numFmtId="249" fontId="95" fillId="0" borderId="8"/>
    <xf numFmtId="0" fontId="117" fillId="0" borderId="0"/>
    <xf numFmtId="0" fontId="117" fillId="0" borderId="0"/>
    <xf numFmtId="211" fontId="118" fillId="36" borderId="35">
      <alignment vertical="top"/>
    </xf>
    <xf numFmtId="0" fontId="120" fillId="37" borderId="8">
      <alignment horizontal="left" vertical="center"/>
    </xf>
    <xf numFmtId="250" fontId="121" fillId="38" borderId="35"/>
    <xf numFmtId="211" fontId="81" fillId="0" borderId="35">
      <alignment horizontal="left" vertical="top"/>
    </xf>
    <xf numFmtId="0" fontId="122" fillId="39" borderId="0">
      <alignment horizontal="left" vertical="center"/>
    </xf>
    <xf numFmtId="211" fontId="27" fillId="0" borderId="21">
      <alignment horizontal="left" vertical="top"/>
    </xf>
    <xf numFmtId="0" fontId="119" fillId="0" borderId="21">
      <alignment horizontal="left" vertical="center"/>
    </xf>
    <xf numFmtId="251" fontId="4" fillId="0" borderId="0" applyFont="0" applyFill="0" applyBorder="0" applyAlignment="0" applyProtection="0"/>
    <xf numFmtId="252" fontId="4" fillId="0" borderId="0" applyFont="0" applyFill="0" applyBorder="0" applyAlignment="0" applyProtection="0"/>
    <xf numFmtId="0" fontId="123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24" fillId="0" borderId="0">
      <alignment vertical="center"/>
    </xf>
    <xf numFmtId="171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0" fontId="125" fillId="24" borderId="10" applyNumberFormat="0" applyAlignment="0" applyProtection="0"/>
    <xf numFmtId="0" fontId="126" fillId="0" borderId="22" applyNumberFormat="0" applyFill="0" applyAlignment="0" applyProtection="0"/>
    <xf numFmtId="0" fontId="127" fillId="5" borderId="0" applyNumberFormat="0" applyBorder="0" applyAlignment="0" applyProtection="0"/>
    <xf numFmtId="0" fontId="128" fillId="23" borderId="26" applyNumberFormat="0" applyAlignment="0" applyProtection="0"/>
    <xf numFmtId="0" fontId="129" fillId="23" borderId="9" applyNumberFormat="0" applyAlignment="0" applyProtection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3" fillId="6" borderId="0" applyNumberFormat="0" applyBorder="0" applyAlignment="0" applyProtection="0"/>
    <xf numFmtId="0" fontId="14" fillId="0" borderId="0"/>
    <xf numFmtId="0" fontId="134" fillId="9" borderId="9" applyNumberFormat="0" applyAlignment="0" applyProtection="0"/>
    <xf numFmtId="0" fontId="135" fillId="32" borderId="0" applyNumberFormat="0" applyBorder="0" applyAlignment="0" applyProtection="0"/>
    <xf numFmtId="0" fontId="136" fillId="0" borderId="31" applyNumberFormat="0" applyFill="0" applyAlignment="0" applyProtection="0"/>
    <xf numFmtId="0" fontId="42" fillId="18" borderId="0" applyNumberFormat="0" applyBorder="0" applyAlignment="0" applyProtection="0"/>
    <xf numFmtId="0" fontId="42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21" borderId="0" applyNumberFormat="0" applyBorder="0" applyAlignment="0" applyProtection="0"/>
    <xf numFmtId="0" fontId="137" fillId="33" borderId="25" applyNumberFormat="0" applyFont="0" applyAlignment="0" applyProtection="0"/>
    <xf numFmtId="0" fontId="138" fillId="0" borderId="16" applyNumberFormat="0" applyFill="0" applyAlignment="0" applyProtection="0"/>
    <xf numFmtId="0" fontId="139" fillId="0" borderId="17" applyNumberFormat="0" applyFill="0" applyAlignment="0" applyProtection="0"/>
    <xf numFmtId="0" fontId="140" fillId="0" borderId="18" applyNumberFormat="0" applyFill="0" applyAlignment="0" applyProtection="0"/>
    <xf numFmtId="0" fontId="140" fillId="0" borderId="0" applyNumberFormat="0" applyFill="0" applyBorder="0" applyAlignment="0" applyProtection="0"/>
    <xf numFmtId="0" fontId="141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3" fillId="0" borderId="0">
      <alignment vertical="center"/>
    </xf>
    <xf numFmtId="253" fontId="91" fillId="0" borderId="0">
      <protection locked="0"/>
    </xf>
    <xf numFmtId="0" fontId="142" fillId="0" borderId="0">
      <protection locked="0"/>
    </xf>
    <xf numFmtId="0" fontId="142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40" fontId="144" fillId="0" borderId="0" applyFont="0" applyFill="0" applyBorder="0" applyAlignment="0" applyProtection="0"/>
    <xf numFmtId="38" fontId="144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4" fillId="0" borderId="0" applyFont="0" applyFill="0" applyBorder="0" applyAlignment="0" applyProtection="0"/>
    <xf numFmtId="9" fontId="145" fillId="0" borderId="0" applyBorder="0" applyAlignment="0" applyProtection="0"/>
    <xf numFmtId="0" fontId="146" fillId="0" borderId="0"/>
    <xf numFmtId="254" fontId="147" fillId="0" borderId="0">
      <alignment vertical="center"/>
    </xf>
    <xf numFmtId="41" fontId="148" fillId="0" borderId="0" applyFont="0" applyFill="0" applyBorder="0" applyAlignment="0" applyProtection="0"/>
    <xf numFmtId="43" fontId="4" fillId="0" borderId="0" applyFont="0" applyFill="0" applyBorder="0" applyAlignment="0" applyProtection="0"/>
    <xf numFmtId="4" fontId="143" fillId="0" borderId="0">
      <protection locked="0"/>
    </xf>
    <xf numFmtId="255" fontId="91" fillId="0" borderId="0">
      <protection locked="0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174" fontId="91" fillId="0" borderId="0" applyFont="0" applyFill="0" applyBorder="0" applyAlignment="0" applyProtection="0"/>
    <xf numFmtId="177" fontId="91" fillId="0" borderId="0" applyFont="0" applyFill="0" applyBorder="0" applyAlignment="0" applyProtection="0"/>
    <xf numFmtId="256" fontId="60" fillId="0" borderId="0">
      <protection locked="0"/>
    </xf>
    <xf numFmtId="0" fontId="149" fillId="0" borderId="0"/>
    <xf numFmtId="0" fontId="143" fillId="0" borderId="3">
      <protection locked="0"/>
    </xf>
    <xf numFmtId="257" fontId="60" fillId="0" borderId="0">
      <protection locked="0"/>
    </xf>
    <xf numFmtId="258" fontId="91" fillId="0" borderId="0">
      <protection locked="0"/>
    </xf>
    <xf numFmtId="0" fontId="60" fillId="0" borderId="0"/>
    <xf numFmtId="19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50" fillId="0" borderId="0" applyFont="0" applyFill="0" applyBorder="0" applyAlignment="0" applyProtection="0"/>
    <xf numFmtId="17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151" fillId="0" borderId="0" applyNumberFormat="0" applyFill="0" applyBorder="0" applyAlignment="0" applyProtection="0"/>
    <xf numFmtId="0" fontId="152" fillId="0" borderId="0" applyNumberFormat="0" applyFill="0" applyBorder="0" applyAlignment="0" applyProtection="0">
      <alignment vertical="top"/>
      <protection locked="0"/>
    </xf>
    <xf numFmtId="0" fontId="153" fillId="0" borderId="0"/>
    <xf numFmtId="0" fontId="154" fillId="0" borderId="0"/>
    <xf numFmtId="170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0" fontId="4" fillId="0" borderId="0"/>
    <xf numFmtId="175" fontId="8" fillId="0" borderId="0" applyFont="0" applyFill="0" applyBorder="0" applyAlignment="0" applyProtection="0"/>
    <xf numFmtId="250" fontId="155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156" fillId="0" borderId="0" applyNumberFormat="0" applyFill="0" applyBorder="0" applyAlignment="0" applyProtection="0"/>
    <xf numFmtId="0" fontId="157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0" fontId="159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223" fontId="160" fillId="0" borderId="30">
      <alignment horizontal="center"/>
    </xf>
    <xf numFmtId="0" fontId="162" fillId="0" borderId="0"/>
    <xf numFmtId="164" fontId="163" fillId="0" borderId="0" applyFont="0" applyFill="0" applyBorder="0" applyAlignment="0" applyProtection="0"/>
    <xf numFmtId="43" fontId="165" fillId="0" borderId="0" applyFont="0" applyFill="0" applyBorder="0" applyAlignment="0" applyProtection="0"/>
    <xf numFmtId="0" fontId="166" fillId="0" borderId="0">
      <alignment vertical="center"/>
    </xf>
    <xf numFmtId="0" fontId="166" fillId="0" borderId="0">
      <alignment vertical="center"/>
    </xf>
    <xf numFmtId="0" fontId="167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9" fontId="5" fillId="0" borderId="0" applyFont="0" applyFill="0" applyBorder="0" applyAlignment="0" applyProtection="0"/>
    <xf numFmtId="0" fontId="4" fillId="0" borderId="0"/>
    <xf numFmtId="170" fontId="166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172" fillId="0" borderId="0">
      <alignment vertical="center"/>
    </xf>
    <xf numFmtId="170" fontId="167" fillId="0" borderId="0" applyFont="0" applyFill="0" applyBorder="0" applyAlignment="0" applyProtection="0">
      <alignment vertical="center"/>
    </xf>
    <xf numFmtId="0" fontId="59" fillId="0" borderId="0"/>
    <xf numFmtId="0" fontId="166" fillId="0" borderId="0">
      <alignment vertical="center"/>
    </xf>
    <xf numFmtId="170" fontId="167" fillId="0" borderId="0" applyFont="0" applyFill="0" applyBorder="0" applyAlignment="0" applyProtection="0">
      <alignment vertical="center"/>
    </xf>
    <xf numFmtId="0" fontId="166" fillId="0" borderId="0">
      <alignment vertical="center"/>
    </xf>
    <xf numFmtId="0" fontId="172" fillId="0" borderId="0">
      <alignment vertical="center"/>
    </xf>
    <xf numFmtId="0" fontId="162" fillId="0" borderId="0"/>
    <xf numFmtId="0" fontId="162" fillId="0" borderId="0"/>
    <xf numFmtId="0" fontId="162" fillId="0" borderId="0"/>
    <xf numFmtId="43" fontId="166" fillId="0" borderId="0" applyFont="0" applyFill="0" applyBorder="0" applyAlignment="0" applyProtection="0"/>
    <xf numFmtId="0" fontId="4" fillId="0" borderId="0"/>
  </cellStyleXfs>
  <cellXfs count="119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62" fillId="0" borderId="0" xfId="0" applyFont="1" applyAlignment="1">
      <alignment vertical="center"/>
    </xf>
    <xf numFmtId="0" fontId="162" fillId="0" borderId="0" xfId="0" applyFont="1"/>
    <xf numFmtId="0" fontId="1" fillId="0" borderId="0" xfId="0" applyFont="1" applyAlignment="1">
      <alignment horizontal="left"/>
    </xf>
    <xf numFmtId="0" fontId="164" fillId="0" borderId="0" xfId="0" applyFont="1"/>
    <xf numFmtId="0" fontId="164" fillId="0" borderId="0" xfId="1887" applyFont="1" applyAlignment="1">
      <alignment vertical="center"/>
    </xf>
    <xf numFmtId="0" fontId="3" fillId="0" borderId="0" xfId="1887" applyFont="1" applyAlignment="1">
      <alignment vertical="center"/>
    </xf>
    <xf numFmtId="0" fontId="162" fillId="0" borderId="0" xfId="1887" applyFont="1" applyAlignment="1">
      <alignment vertical="center"/>
    </xf>
    <xf numFmtId="0" fontId="162" fillId="0" borderId="0" xfId="1887" applyFont="1"/>
    <xf numFmtId="0" fontId="169" fillId="0" borderId="0" xfId="0" applyFont="1"/>
    <xf numFmtId="0" fontId="170" fillId="0" borderId="0" xfId="0" applyFont="1"/>
    <xf numFmtId="0" fontId="171" fillId="0" borderId="0" xfId="0" applyFont="1"/>
    <xf numFmtId="0" fontId="173" fillId="0" borderId="0" xfId="0" applyFont="1"/>
    <xf numFmtId="0" fontId="2" fillId="0" borderId="0" xfId="0" applyFont="1" applyAlignment="1">
      <alignment horizontal="left"/>
    </xf>
    <xf numFmtId="0" fontId="2" fillId="41" borderId="0" xfId="0" applyFont="1" applyFill="1" applyAlignment="1">
      <alignment horizontal="left"/>
    </xf>
    <xf numFmtId="0" fontId="1" fillId="41" borderId="0" xfId="0" applyFont="1" applyFill="1" applyAlignment="1">
      <alignment horizontal="left"/>
    </xf>
    <xf numFmtId="0" fontId="169" fillId="0" borderId="8" xfId="1887" applyFont="1" applyBorder="1" applyAlignment="1">
      <alignment horizontal="center" vertical="center"/>
    </xf>
    <xf numFmtId="0" fontId="169" fillId="0" borderId="8" xfId="1887" applyFont="1" applyBorder="1" applyAlignment="1">
      <alignment horizontal="center" vertical="center" wrapText="1"/>
    </xf>
    <xf numFmtId="0" fontId="0" fillId="0" borderId="0" xfId="0" applyBorder="1"/>
    <xf numFmtId="0" fontId="176" fillId="40" borderId="8" xfId="0" applyFont="1" applyFill="1" applyBorder="1" applyAlignment="1">
      <alignment horizontal="center" vertical="center"/>
    </xf>
    <xf numFmtId="0" fontId="176" fillId="40" borderId="33" xfId="0" applyFont="1" applyFill="1" applyBorder="1" applyAlignment="1">
      <alignment horizontal="center" vertical="center"/>
    </xf>
    <xf numFmtId="259" fontId="176" fillId="40" borderId="8" xfId="0" applyNumberFormat="1" applyFont="1" applyFill="1" applyBorder="1" applyAlignment="1">
      <alignment horizontal="center" vertical="center"/>
    </xf>
    <xf numFmtId="0" fontId="174" fillId="40" borderId="8" xfId="0" applyFont="1" applyFill="1" applyBorder="1"/>
    <xf numFmtId="0" fontId="49" fillId="40" borderId="8" xfId="1887" applyFont="1" applyFill="1" applyBorder="1" applyAlignment="1">
      <alignment horizontal="center" vertical="center" wrapText="1"/>
    </xf>
    <xf numFmtId="0" fontId="181" fillId="0" borderId="0" xfId="1887" applyFont="1" applyAlignment="1">
      <alignment vertical="center"/>
    </xf>
    <xf numFmtId="0" fontId="114" fillId="0" borderId="0" xfId="1887" applyFont="1" applyAlignment="1">
      <alignment vertical="center"/>
    </xf>
    <xf numFmtId="0" fontId="179" fillId="0" borderId="0" xfId="1887" applyFont="1" applyAlignment="1">
      <alignment vertical="center"/>
    </xf>
    <xf numFmtId="0" fontId="164" fillId="0" borderId="8" xfId="1887" applyFont="1" applyBorder="1" applyAlignment="1">
      <alignment horizontal="center" vertical="center"/>
    </xf>
    <xf numFmtId="0" fontId="164" fillId="0" borderId="8" xfId="1887" applyFont="1" applyBorder="1" applyAlignment="1">
      <alignment horizontal="center" vertical="center" wrapText="1"/>
    </xf>
    <xf numFmtId="0" fontId="162" fillId="0" borderId="8" xfId="0" applyFont="1" applyBorder="1" applyAlignment="1">
      <alignment horizontal="center" vertical="center"/>
    </xf>
    <xf numFmtId="261" fontId="184" fillId="40" borderId="8" xfId="1909" applyNumberFormat="1" applyFont="1" applyFill="1" applyBorder="1" applyAlignment="1">
      <alignment horizontal="center" vertical="center"/>
    </xf>
    <xf numFmtId="0" fontId="162" fillId="0" borderId="0" xfId="1887" applyAlignment="1">
      <alignment vertical="center"/>
    </xf>
    <xf numFmtId="0" fontId="162" fillId="0" borderId="0" xfId="1887"/>
    <xf numFmtId="0" fontId="185" fillId="0" borderId="0" xfId="0" applyFont="1" applyAlignment="1">
      <alignment vertical="center"/>
    </xf>
    <xf numFmtId="0" fontId="180" fillId="0" borderId="0" xfId="0" applyFont="1"/>
    <xf numFmtId="0" fontId="186" fillId="0" borderId="0" xfId="0" applyFont="1"/>
    <xf numFmtId="0" fontId="187" fillId="0" borderId="0" xfId="0" applyFont="1"/>
    <xf numFmtId="0" fontId="188" fillId="40" borderId="8" xfId="1887" applyFont="1" applyFill="1" applyBorder="1" applyAlignment="1">
      <alignment horizontal="center" vertical="center" wrapText="1"/>
    </xf>
    <xf numFmtId="260" fontId="49" fillId="40" borderId="8" xfId="1914" applyNumberFormat="1" applyFont="1" applyFill="1" applyBorder="1" applyAlignment="1">
      <alignment horizontal="center" vertical="center"/>
    </xf>
    <xf numFmtId="0" fontId="174" fillId="40" borderId="8" xfId="1892" applyFont="1" applyFill="1" applyBorder="1" applyAlignment="1">
      <alignment horizontal="center" vertical="center"/>
    </xf>
    <xf numFmtId="259" fontId="174" fillId="40" borderId="8" xfId="1892" applyNumberFormat="1" applyFont="1" applyFill="1" applyBorder="1" applyAlignment="1">
      <alignment horizontal="center" vertical="center"/>
    </xf>
    <xf numFmtId="0" fontId="0" fillId="40" borderId="0" xfId="0" applyFill="1"/>
    <xf numFmtId="0" fontId="189" fillId="0" borderId="33" xfId="0" applyFont="1" applyBorder="1" applyAlignment="1">
      <alignment horizontal="center" vertical="center"/>
    </xf>
    <xf numFmtId="0" fontId="189" fillId="0" borderId="8" xfId="0" applyFont="1" applyBorder="1" applyAlignment="1">
      <alignment horizontal="center" vertical="center"/>
    </xf>
    <xf numFmtId="259" fontId="189" fillId="0" borderId="8" xfId="0" applyNumberFormat="1" applyFont="1" applyBorder="1" applyAlignment="1">
      <alignment horizontal="center" vertical="center"/>
    </xf>
    <xf numFmtId="1" fontId="190" fillId="22" borderId="0" xfId="0" applyNumberFormat="1" applyFont="1" applyFill="1" applyAlignment="1">
      <alignment vertical="center"/>
    </xf>
    <xf numFmtId="1" fontId="190" fillId="22" borderId="0" xfId="0" applyNumberFormat="1" applyFont="1" applyFill="1" applyAlignment="1">
      <alignment horizontal="center" vertical="center"/>
    </xf>
    <xf numFmtId="170" fontId="190" fillId="0" borderId="0" xfId="1900" applyFont="1" applyFill="1" applyAlignment="1">
      <alignment horizontal="center" vertical="center"/>
    </xf>
    <xf numFmtId="262" fontId="190" fillId="22" borderId="0" xfId="1900" applyNumberFormat="1" applyFont="1" applyFill="1" applyAlignment="1">
      <alignment vertical="center"/>
    </xf>
    <xf numFmtId="262" fontId="190" fillId="22" borderId="0" xfId="1900" applyNumberFormat="1" applyFont="1" applyFill="1" applyAlignment="1">
      <alignment horizontal="right" vertical="center"/>
    </xf>
    <xf numFmtId="0" fontId="190" fillId="22" borderId="0" xfId="0" applyFont="1" applyFill="1" applyAlignment="1">
      <alignment vertical="center"/>
    </xf>
    <xf numFmtId="0" fontId="174" fillId="0" borderId="0" xfId="0" applyFont="1" applyAlignment="1">
      <alignment vertical="center"/>
    </xf>
    <xf numFmtId="0" fontId="174" fillId="0" borderId="0" xfId="0" applyFont="1"/>
    <xf numFmtId="0" fontId="174" fillId="0" borderId="0" xfId="0" applyFont="1" applyBorder="1" applyAlignment="1">
      <alignment vertical="center"/>
    </xf>
    <xf numFmtId="0" fontId="174" fillId="0" borderId="0" xfId="0" applyFont="1" applyBorder="1"/>
    <xf numFmtId="0" fontId="192" fillId="0" borderId="0" xfId="0" applyFont="1"/>
    <xf numFmtId="230" fontId="179" fillId="40" borderId="0" xfId="1195" applyFont="1" applyFill="1" applyAlignment="1" applyProtection="1">
      <alignment horizontal="center" vertical="center"/>
      <protection hidden="1"/>
    </xf>
    <xf numFmtId="262" fontId="177" fillId="0" borderId="0" xfId="1900" applyNumberFormat="1" applyFont="1" applyBorder="1" applyAlignment="1"/>
    <xf numFmtId="0" fontId="177" fillId="0" borderId="0" xfId="0" applyFont="1" applyBorder="1"/>
    <xf numFmtId="230" fontId="114" fillId="40" borderId="0" xfId="1195" applyFont="1" applyFill="1" applyAlignment="1" applyProtection="1">
      <alignment horizontal="left" vertical="center"/>
      <protection hidden="1"/>
    </xf>
    <xf numFmtId="0" fontId="2" fillId="42" borderId="8" xfId="0" applyFont="1" applyFill="1" applyBorder="1" applyAlignment="1">
      <alignment horizontal="center" vertical="center" wrapText="1"/>
    </xf>
    <xf numFmtId="0" fontId="192" fillId="40" borderId="0" xfId="0" applyFont="1" applyFill="1"/>
    <xf numFmtId="1" fontId="164" fillId="42" borderId="8" xfId="0" applyNumberFormat="1" applyFont="1" applyFill="1" applyBorder="1" applyAlignment="1">
      <alignment horizontal="center" vertical="center"/>
    </xf>
    <xf numFmtId="0" fontId="164" fillId="42" borderId="8" xfId="0" applyFont="1" applyFill="1" applyBorder="1" applyAlignment="1">
      <alignment horizontal="center" vertical="center" wrapText="1"/>
    </xf>
    <xf numFmtId="262" fontId="164" fillId="42" borderId="8" xfId="1900" applyNumberFormat="1" applyFont="1" applyFill="1" applyBorder="1" applyAlignment="1">
      <alignment horizontal="center" vertical="center"/>
    </xf>
    <xf numFmtId="262" fontId="164" fillId="42" borderId="8" xfId="1900" quotePrefix="1" applyNumberFormat="1" applyFont="1" applyFill="1" applyBorder="1" applyAlignment="1">
      <alignment horizontal="center" vertical="center"/>
    </xf>
    <xf numFmtId="263" fontId="164" fillId="42" borderId="8" xfId="1900" quotePrefix="1" applyNumberFormat="1" applyFont="1" applyFill="1" applyBorder="1" applyAlignment="1">
      <alignment horizontal="center" vertical="center"/>
    </xf>
    <xf numFmtId="0" fontId="178" fillId="42" borderId="8" xfId="0" applyFont="1" applyFill="1" applyBorder="1" applyAlignment="1">
      <alignment horizontal="center" vertical="center" wrapText="1"/>
    </xf>
    <xf numFmtId="1" fontId="164" fillId="40" borderId="0" xfId="0" applyNumberFormat="1" applyFont="1" applyFill="1" applyBorder="1" applyAlignment="1">
      <alignment horizontal="center" vertical="center"/>
    </xf>
    <xf numFmtId="14" fontId="164" fillId="40" borderId="0" xfId="0" applyNumberFormat="1" applyFont="1" applyFill="1" applyBorder="1" applyAlignment="1">
      <alignment horizontal="center" vertical="center"/>
    </xf>
    <xf numFmtId="0" fontId="164" fillId="40" borderId="0" xfId="0" applyFont="1" applyFill="1" applyBorder="1" applyAlignment="1">
      <alignment horizontal="center" vertical="center" wrapText="1"/>
    </xf>
    <xf numFmtId="0" fontId="192" fillId="0" borderId="0" xfId="0" applyFont="1" applyAlignment="1">
      <alignment vertical="center"/>
    </xf>
    <xf numFmtId="0" fontId="192" fillId="0" borderId="0" xfId="0" applyFont="1" applyAlignment="1">
      <alignment horizontal="center"/>
    </xf>
    <xf numFmtId="0" fontId="171" fillId="40" borderId="8" xfId="0" applyFont="1" applyFill="1" applyBorder="1" applyAlignment="1">
      <alignment horizontal="center" vertical="center"/>
    </xf>
    <xf numFmtId="0" fontId="171" fillId="40" borderId="8" xfId="0" applyFont="1" applyFill="1" applyBorder="1" applyAlignment="1">
      <alignment horizontal="center" vertical="center" wrapText="1"/>
    </xf>
    <xf numFmtId="2" fontId="171" fillId="40" borderId="8" xfId="0" applyNumberFormat="1" applyFont="1" applyFill="1" applyBorder="1" applyAlignment="1">
      <alignment horizontal="center" vertical="center" wrapText="1"/>
    </xf>
    <xf numFmtId="0" fontId="175" fillId="40" borderId="8" xfId="1887" applyFont="1" applyFill="1" applyBorder="1" applyAlignment="1">
      <alignment horizontal="center" vertical="center"/>
    </xf>
    <xf numFmtId="0" fontId="175" fillId="40" borderId="8" xfId="1887" applyFont="1" applyFill="1" applyBorder="1" applyAlignment="1">
      <alignment horizontal="center" vertical="center" wrapText="1"/>
    </xf>
    <xf numFmtId="0" fontId="175" fillId="40" borderId="8" xfId="0" applyFont="1" applyFill="1" applyBorder="1" applyAlignment="1">
      <alignment horizontal="center" vertical="center"/>
    </xf>
    <xf numFmtId="0" fontId="175" fillId="40" borderId="33" xfId="1887" applyFont="1" applyFill="1" applyBorder="1" applyAlignment="1">
      <alignment horizontal="center" vertical="center"/>
    </xf>
    <xf numFmtId="0" fontId="175" fillId="40" borderId="30" xfId="1887" applyFont="1" applyFill="1" applyBorder="1" applyAlignment="1">
      <alignment horizontal="center" vertical="center"/>
    </xf>
    <xf numFmtId="0" fontId="174" fillId="40" borderId="33" xfId="1892" applyFont="1" applyFill="1" applyBorder="1" applyAlignment="1">
      <alignment horizontal="center" vertical="center"/>
    </xf>
    <xf numFmtId="0" fontId="176" fillId="40" borderId="33" xfId="0" applyFont="1" applyFill="1" applyBorder="1" applyAlignment="1">
      <alignment horizontal="center" vertical="center"/>
    </xf>
    <xf numFmtId="0" fontId="194" fillId="40" borderId="8" xfId="1887" applyFont="1" applyFill="1" applyBorder="1" applyAlignment="1">
      <alignment horizontal="center" vertical="center" wrapText="1"/>
    </xf>
    <xf numFmtId="0" fontId="194" fillId="40" borderId="33" xfId="1887" applyFont="1" applyFill="1" applyBorder="1" applyAlignment="1">
      <alignment horizontal="center" vertical="center" wrapText="1"/>
    </xf>
    <xf numFmtId="14" fontId="195" fillId="40" borderId="8" xfId="1893" applyNumberFormat="1" applyFont="1" applyFill="1" applyBorder="1" applyAlignment="1">
      <alignment horizontal="center" vertical="center"/>
    </xf>
    <xf numFmtId="0" fontId="179" fillId="40" borderId="8" xfId="1887" applyFont="1" applyFill="1" applyBorder="1" applyAlignment="1">
      <alignment horizontal="center" vertical="center" wrapText="1"/>
    </xf>
    <xf numFmtId="261" fontId="178" fillId="40" borderId="8" xfId="1909" applyNumberFormat="1" applyFont="1" applyFill="1" applyBorder="1" applyAlignment="1">
      <alignment horizontal="center" vertical="center"/>
    </xf>
    <xf numFmtId="0" fontId="179" fillId="40" borderId="33" xfId="1887" applyFont="1" applyFill="1" applyBorder="1" applyAlignment="1">
      <alignment horizontal="center" vertical="center" wrapText="1"/>
    </xf>
    <xf numFmtId="14" fontId="177" fillId="40" borderId="8" xfId="1893" applyNumberFormat="1" applyFont="1" applyFill="1" applyBorder="1" applyAlignment="1">
      <alignment horizontal="center" vertical="center"/>
    </xf>
    <xf numFmtId="0" fontId="179" fillId="0" borderId="8" xfId="1887" applyFont="1" applyBorder="1" applyAlignment="1">
      <alignment horizontal="center" vertical="center"/>
    </xf>
    <xf numFmtId="0" fontId="179" fillId="0" borderId="8" xfId="1887" applyFont="1" applyBorder="1" applyAlignment="1">
      <alignment horizontal="center" vertical="center" wrapText="1"/>
    </xf>
    <xf numFmtId="0" fontId="164" fillId="0" borderId="0" xfId="1887" applyFont="1" applyAlignment="1">
      <alignment horizontal="center"/>
    </xf>
    <xf numFmtId="0" fontId="168" fillId="0" borderId="0" xfId="1887" applyFont="1" applyAlignment="1">
      <alignment horizontal="center"/>
    </xf>
    <xf numFmtId="0" fontId="176" fillId="40" borderId="30" xfId="0" applyFont="1" applyFill="1" applyBorder="1" applyAlignment="1">
      <alignment horizontal="center" vertical="center"/>
    </xf>
    <xf numFmtId="0" fontId="176" fillId="40" borderId="33" xfId="0" applyFont="1" applyFill="1" applyBorder="1" applyAlignment="1">
      <alignment horizontal="center" vertical="center"/>
    </xf>
    <xf numFmtId="0" fontId="164" fillId="0" borderId="0" xfId="1887" applyFont="1" applyAlignment="1">
      <alignment horizontal="right" vertical="center"/>
    </xf>
    <xf numFmtId="0" fontId="162" fillId="0" borderId="30" xfId="0" applyFont="1" applyBorder="1" applyAlignment="1">
      <alignment horizontal="center" vertical="center"/>
    </xf>
    <xf numFmtId="0" fontId="162" fillId="0" borderId="33" xfId="0" applyFont="1" applyBorder="1" applyAlignment="1">
      <alignment horizontal="center" vertical="center"/>
    </xf>
    <xf numFmtId="0" fontId="180" fillId="0" borderId="0" xfId="1887" applyFont="1" applyAlignment="1">
      <alignment horizontal="center"/>
    </xf>
    <xf numFmtId="0" fontId="182" fillId="0" borderId="0" xfId="1887" applyFont="1" applyAlignment="1">
      <alignment horizontal="center"/>
    </xf>
    <xf numFmtId="0" fontId="189" fillId="0" borderId="30" xfId="0" applyFont="1" applyBorder="1" applyAlignment="1">
      <alignment horizontal="center" vertical="center"/>
    </xf>
    <xf numFmtId="0" fontId="189" fillId="0" borderId="33" xfId="0" applyFont="1" applyBorder="1" applyAlignment="1">
      <alignment horizontal="center" vertical="center"/>
    </xf>
    <xf numFmtId="230" fontId="114" fillId="40" borderId="0" xfId="1195" applyFont="1" applyFill="1" applyAlignment="1" applyProtection="1">
      <alignment horizontal="left" vertical="center"/>
      <protection hidden="1"/>
    </xf>
    <xf numFmtId="230" fontId="179" fillId="40" borderId="0" xfId="1195" applyFont="1" applyFill="1" applyAlignment="1" applyProtection="1">
      <alignment horizontal="left" vertical="center"/>
      <protection hidden="1"/>
    </xf>
    <xf numFmtId="0" fontId="174" fillId="0" borderId="0" xfId="0" applyFont="1" applyAlignment="1">
      <alignment horizontal="left" vertical="center"/>
    </xf>
    <xf numFmtId="0" fontId="174" fillId="0" borderId="0" xfId="0" applyFont="1" applyBorder="1" applyAlignment="1">
      <alignment horizontal="left" vertical="center"/>
    </xf>
    <xf numFmtId="0" fontId="191" fillId="0" borderId="0" xfId="1915" applyNumberFormat="1" applyFont="1" applyAlignment="1">
      <alignment horizontal="center" vertical="center" shrinkToFit="1"/>
    </xf>
    <xf numFmtId="0" fontId="164" fillId="0" borderId="0" xfId="1915" applyNumberFormat="1" applyFont="1" applyAlignment="1">
      <alignment horizontal="center" vertical="center" shrinkToFit="1"/>
    </xf>
    <xf numFmtId="0" fontId="114" fillId="0" borderId="0" xfId="0" applyFont="1" applyAlignment="1">
      <alignment horizontal="left" vertical="center"/>
    </xf>
    <xf numFmtId="0" fontId="114" fillId="0" borderId="0" xfId="0" applyFont="1" applyAlignment="1">
      <alignment horizontal="center" vertical="center"/>
    </xf>
    <xf numFmtId="0" fontId="2" fillId="42" borderId="8" xfId="0" applyFont="1" applyFill="1" applyBorder="1" applyAlignment="1">
      <alignment horizontal="center" vertical="center"/>
    </xf>
    <xf numFmtId="0" fontId="2" fillId="42" borderId="8" xfId="0" applyFont="1" applyFill="1" applyBorder="1" applyAlignment="1">
      <alignment horizontal="center" vertical="center" wrapText="1"/>
    </xf>
    <xf numFmtId="0" fontId="192" fillId="0" borderId="0" xfId="0" applyFont="1" applyAlignment="1">
      <alignment horizontal="center" vertical="center"/>
    </xf>
    <xf numFmtId="0" fontId="164" fillId="42" borderId="8" xfId="0" applyFont="1" applyFill="1" applyBorder="1" applyAlignment="1">
      <alignment horizontal="center" vertical="center" wrapText="1"/>
    </xf>
    <xf numFmtId="170" fontId="193" fillId="40" borderId="34" xfId="1900" quotePrefix="1" applyFont="1" applyFill="1" applyBorder="1" applyAlignment="1">
      <alignment horizontal="center" vertical="center"/>
    </xf>
    <xf numFmtId="0" fontId="164" fillId="0" borderId="0" xfId="1197" applyFont="1" applyAlignment="1">
      <alignment horizontal="left" vertical="center"/>
    </xf>
  </cellXfs>
  <cellStyles count="1916">
    <cellStyle name="_x0001_" xfId="1"/>
    <cellStyle name="          _x000d__x000a_shell=progman.exe_x000d__x000a_m" xfId="2"/>
    <cellStyle name="_x0001_ 2" xfId="3"/>
    <cellStyle name="_x0001_ 3" xfId="4"/>
    <cellStyle name="_x0001_ 4" xfId="5"/>
    <cellStyle name="_x0001_ 5" xfId="6"/>
    <cellStyle name=",." xfId="7"/>
    <cellStyle name="." xfId="8"/>
    <cellStyle name="??" xfId="9"/>
    <cellStyle name="?? [0.00]_List-dwg" xfId="10"/>
    <cellStyle name="?? [0]" xfId="11"/>
    <cellStyle name="?_x001d_??%U©÷u&amp;H©÷9_x0008_?_x0009_s_x000a__x0007__x0001__x0001_" xfId="12"/>
    <cellStyle name="???? [0.00]_List-dwg" xfId="13"/>
    <cellStyle name="??????????????????? [0]_FTC_OFFER" xfId="14"/>
    <cellStyle name="???????????????????_FTC_OFFER" xfId="15"/>
    <cellStyle name="????_FTC_OFFER" xfId="16"/>
    <cellStyle name="???[0]_Book1" xfId="17"/>
    <cellStyle name="???_???" xfId="18"/>
    <cellStyle name="??_ ??? ???? " xfId="19"/>
    <cellStyle name="??A? [0]_ÿÿÿÿÿÿ_1_¢¬???¢â? " xfId="20"/>
    <cellStyle name="??A?_ÿÿÿÿÿÿ_1_¢¬???¢â? " xfId="21"/>
    <cellStyle name="?¡±¢¥?_?¨ù??¢´¢¥_¢¬???¢â? " xfId="22"/>
    <cellStyle name="?ðÇ%U?&amp;H?_x0008_?s_x000a__x0007__x0001__x0001_" xfId="23"/>
    <cellStyle name="_?_BOOKSHIP" xfId="24"/>
    <cellStyle name="__ [0.00]_PRODUCT DETAIL Q1" xfId="25"/>
    <cellStyle name="__ [0]_1202" xfId="26"/>
    <cellStyle name="__ [0]_1202_Result Red Store Jun" xfId="27"/>
    <cellStyle name="__ [0]_Book1" xfId="28"/>
    <cellStyle name="___(____)______" xfId="29"/>
    <cellStyle name="___[0]_Book1" xfId="30"/>
    <cellStyle name="____ [0.00]_PRODUCT DETAIL Q1" xfId="31"/>
    <cellStyle name="_____PRODUCT DETAIL Q1" xfId="32"/>
    <cellStyle name="____95" xfId="33"/>
    <cellStyle name="____Book1" xfId="34"/>
    <cellStyle name="___1202" xfId="35"/>
    <cellStyle name="___1202_Result Red Store Jun" xfId="36"/>
    <cellStyle name="___1202_Result Red Store Jun_1" xfId="37"/>
    <cellStyle name="___Book1" xfId="38"/>
    <cellStyle name="___Book1_Result Red Store Jun" xfId="39"/>
    <cellStyle name="___kc-elec system check list" xfId="40"/>
    <cellStyle name="___kc-elec system check list_Dat kinh so   -17082012-Nha A Trung TGD" xfId="41"/>
    <cellStyle name="___kc-elec system check list_KINH NHA CO NGA 18-09-12" xfId="42"/>
    <cellStyle name="___kc-elec system check list_thong ke kinh PHONG mau-sxl1" xfId="43"/>
    <cellStyle name="___kc-elec system check list_thong ke kinh Tang mau-sxl1" xfId="44"/>
    <cellStyle name="___PRODUCT DETAIL Q1" xfId="45"/>
    <cellStyle name="_131_138_1311_2006" xfId="46"/>
    <cellStyle name="_3338.2006" xfId="47"/>
    <cellStyle name="_3388 BK SG" xfId="48"/>
    <cellStyle name="_3388 BK SG_BAO GIA-moi" xfId="49"/>
    <cellStyle name="_3388 BK SG_BAO GIA-moi 2" xfId="50"/>
    <cellStyle name="_3388 BK SG_BAO GIA-moi 3" xfId="51"/>
    <cellStyle name="_3388 BK SG_BAO GIA-moi 4" xfId="52"/>
    <cellStyle name="_3388 BK SG_BAO GIA-moi 5" xfId="53"/>
    <cellStyle name="_3388 BK SG_BAO GIA-moi_Dat kinh so   -17082012-Nha A Trung TGD" xfId="54"/>
    <cellStyle name="_3388 BK SG_BAO GIA-moi_KINH NHA CO NGA 18-09-12" xfId="55"/>
    <cellStyle name="_3388 BK SG_BAO GIA-moi_thong ke kinh PHONG mau-sxl1" xfId="56"/>
    <cellStyle name="_3388 BK SG_BAO GIA-moi_thong ke kinh Tang mau-sxl1" xfId="57"/>
    <cellStyle name="_3388 BK SG_CSMH 1C" xfId="58"/>
    <cellStyle name="_3388 BK SG_Sliding door&amp;window SR_SF" xfId="59"/>
    <cellStyle name="_3388 BK SG_Sliding door&amp;window SR_SF 2" xfId="60"/>
    <cellStyle name="_3388 BK SG_Sliding door&amp;window SR_SF 3" xfId="61"/>
    <cellStyle name="_3388 BK SG_Sliding door&amp;window SR_SF 4" xfId="62"/>
    <cellStyle name="_3388 BK SG_Sliding door&amp;window SR_SF 5" xfId="63"/>
    <cellStyle name="_3388 BK SG_Sliding door&amp;window SR_SF_Dat kinh so   -17082012-Nha A Trung TGD" xfId="64"/>
    <cellStyle name="_3388 BK SG_Sliding door&amp;window SR_SF_KINH NHA CO NGA 18-09-12" xfId="65"/>
    <cellStyle name="_3388 BK SG_Sliding door&amp;window SR_SF_thong ke kinh PHONG mau-sxl1" xfId="66"/>
    <cellStyle name="_3388 BK SG_Sliding door&amp;window SR_SF_thong ke kinh Tang mau-sxl1" xfId="67"/>
    <cellStyle name="_5113 BANG KE SG" xfId="68"/>
    <cellStyle name="_5113 BANG KE SG_BAO GIA-moi" xfId="69"/>
    <cellStyle name="_5113 BANG KE SG_BAO GIA-moi 2" xfId="70"/>
    <cellStyle name="_5113 BANG KE SG_BAO GIA-moi 3" xfId="71"/>
    <cellStyle name="_5113 BANG KE SG_BAO GIA-moi 4" xfId="72"/>
    <cellStyle name="_5113 BANG KE SG_BAO GIA-moi 5" xfId="73"/>
    <cellStyle name="_5113 BANG KE SG_BAO GIA-moi_Dat kinh so   -17082012-Nha A Trung TGD" xfId="74"/>
    <cellStyle name="_5113 BANG KE SG_BAO GIA-moi_KINH NHA CO NGA 18-09-12" xfId="75"/>
    <cellStyle name="_5113 BANG KE SG_BAO GIA-moi_thong ke kinh PHONG mau-sxl1" xfId="76"/>
    <cellStyle name="_5113 BANG KE SG_BAO GIA-moi_thong ke kinh Tang mau-sxl1" xfId="77"/>
    <cellStyle name="_5113 BANG KE SG_CSMH 1C" xfId="78"/>
    <cellStyle name="_5113 BANG KE SG_Sliding door&amp;window SR_SF" xfId="79"/>
    <cellStyle name="_5113 BANG KE SG_Sliding door&amp;window SR_SF 2" xfId="80"/>
    <cellStyle name="_5113 BANG KE SG_Sliding door&amp;window SR_SF 3" xfId="81"/>
    <cellStyle name="_5113 BANG KE SG_Sliding door&amp;window SR_SF 4" xfId="82"/>
    <cellStyle name="_5113 BANG KE SG_Sliding door&amp;window SR_SF 5" xfId="83"/>
    <cellStyle name="_5113 BANG KE SG_Sliding door&amp;window SR_SF_Dat kinh so   -17082012-Nha A Trung TGD" xfId="84"/>
    <cellStyle name="_5113 BANG KE SG_Sliding door&amp;window SR_SF_KINH NHA CO NGA 18-09-12" xfId="85"/>
    <cellStyle name="_5113 BANG KE SG_Sliding door&amp;window SR_SF_thong ke kinh PHONG mau-sxl1" xfId="86"/>
    <cellStyle name="_5113 BANG KE SG_Sliding door&amp;window SR_SF_thong ke kinh Tang mau-sxl1" xfId="87"/>
    <cellStyle name="_A5-v4-client's comment" xfId="88"/>
    <cellStyle name="_A5-v4-client's comment_BAO GIA-moi" xfId="89"/>
    <cellStyle name="_A5-v4-client's comment_BAO GIA-moi 2" xfId="90"/>
    <cellStyle name="_A5-v4-client's comment_BAO GIA-moi 3" xfId="91"/>
    <cellStyle name="_A5-v4-client's comment_BAO GIA-moi 4" xfId="92"/>
    <cellStyle name="_A5-v4-client's comment_BAO GIA-moi 5" xfId="93"/>
    <cellStyle name="_A5-v4-client's comment_BAO GIA-moi_Dat kinh so   -17082012-Nha A Trung TGD" xfId="94"/>
    <cellStyle name="_A5-v4-client's comment_BAO GIA-moi_KINH NHA CO NGA 18-09-12" xfId="95"/>
    <cellStyle name="_A5-v4-client's comment_BAO GIA-moi_thong ke kinh PHONG mau-sxl1" xfId="96"/>
    <cellStyle name="_A5-v4-client's comment_BAO GIA-moi_thong ke kinh Tang mau-sxl1" xfId="97"/>
    <cellStyle name="_A5-v4-client's comment_CSMH 1C" xfId="98"/>
    <cellStyle name="_A5-v4-client's comment_Sliding door&amp;window SR_SF" xfId="99"/>
    <cellStyle name="_A5-v4-client's comment_Sliding door&amp;window SR_SF 2" xfId="100"/>
    <cellStyle name="_A5-v4-client's comment_Sliding door&amp;window SR_SF 3" xfId="101"/>
    <cellStyle name="_A5-v4-client's comment_Sliding door&amp;window SR_SF 4" xfId="102"/>
    <cellStyle name="_A5-v4-client's comment_Sliding door&amp;window SR_SF 5" xfId="103"/>
    <cellStyle name="_A5-v4-client's comment_Sliding door&amp;window SR_SF_Dat kinh so   -17082012-Nha A Trung TGD" xfId="104"/>
    <cellStyle name="_A5-v4-client's comment_Sliding door&amp;window SR_SF_KINH NHA CO NGA 18-09-12" xfId="105"/>
    <cellStyle name="_A5-v4-client's comment_Sliding door&amp;window SR_SF_thong ke kinh PHONG mau-sxl1" xfId="106"/>
    <cellStyle name="_A5-v4-client's comment_Sliding door&amp;window SR_SF_thong ke kinh Tang mau-sxl1" xfId="107"/>
    <cellStyle name="_Ac 2160 - BO" xfId="108"/>
    <cellStyle name="_Ac 2160 - BO_BAO GIA-moi" xfId="109"/>
    <cellStyle name="_Ac 2160 - BO_BAO GIA-moi 2" xfId="110"/>
    <cellStyle name="_Ac 2160 - BO_BAO GIA-moi 3" xfId="111"/>
    <cellStyle name="_Ac 2160 - BO_BAO GIA-moi 4" xfId="112"/>
    <cellStyle name="_Ac 2160 - BO_BAO GIA-moi 5" xfId="113"/>
    <cellStyle name="_Ac 2160 - BO_BAO GIA-moi_Dat kinh so   -17082012-Nha A Trung TGD" xfId="114"/>
    <cellStyle name="_Ac 2160 - BO_BAO GIA-moi_KINH NHA CO NGA 18-09-12" xfId="115"/>
    <cellStyle name="_Ac 2160 - BO_BAO GIA-moi_thong ke kinh PHONG mau-sxl1" xfId="116"/>
    <cellStyle name="_Ac 2160 - BO_BAO GIA-moi_thong ke kinh Tang mau-sxl1" xfId="117"/>
    <cellStyle name="_Ac 2160 - BO_CSMH 1C" xfId="118"/>
    <cellStyle name="_Ac 2160 - BO_Sliding door&amp;window SR_SF" xfId="119"/>
    <cellStyle name="_Ac 2160 - BO_Sliding door&amp;window SR_SF 2" xfId="120"/>
    <cellStyle name="_Ac 2160 - BO_Sliding door&amp;window SR_SF 3" xfId="121"/>
    <cellStyle name="_Ac 2160 - BO_Sliding door&amp;window SR_SF 4" xfId="122"/>
    <cellStyle name="_Ac 2160 - BO_Sliding door&amp;window SR_SF 5" xfId="123"/>
    <cellStyle name="_Ac 2160 - BO_Sliding door&amp;window SR_SF_Dat kinh so   -17082012-Nha A Trung TGD" xfId="124"/>
    <cellStyle name="_Ac 2160 - BO_Sliding door&amp;window SR_SF_KINH NHA CO NGA 18-09-12" xfId="125"/>
    <cellStyle name="_Ac 2160 - BO_Sliding door&amp;window SR_SF_thong ke kinh PHONG mau-sxl1" xfId="126"/>
    <cellStyle name="_Ac 2160 - BO_Sliding door&amp;window SR_SF_thong ke kinh Tang mau-sxl1" xfId="127"/>
    <cellStyle name="_Amstan - 31 Dec 06 - T Section" xfId="128"/>
    <cellStyle name="_BAO CAO N01.08 " xfId="129"/>
    <cellStyle name="_BAO CAO N01.09 " xfId="130"/>
    <cellStyle name="_BAO CAO N02.08 " xfId="131"/>
    <cellStyle name="_BAO CAO N04.08 " xfId="132"/>
    <cellStyle name="_BAO CAO N04.09 " xfId="133"/>
    <cellStyle name="_BAO CAO N05.08 " xfId="134"/>
    <cellStyle name="_BAO CAO N06.09 " xfId="135"/>
    <cellStyle name="_BAO CAO N07.08 " xfId="136"/>
    <cellStyle name="_BAO CAO N07.09 " xfId="137"/>
    <cellStyle name="_BAO CAO N08.08 " xfId="138"/>
    <cellStyle name="_BAO CAO N08.09 " xfId="139"/>
    <cellStyle name="_BAO CAO N09.09 " xfId="140"/>
    <cellStyle name="_BAO CAO N10.08 " xfId="141"/>
    <cellStyle name="_BAO CAO N11.09 " xfId="142"/>
    <cellStyle name="_BAO CAO N12.08 " xfId="143"/>
    <cellStyle name="_BAO CAO N12.09 " xfId="144"/>
    <cellStyle name="_BAO CAO N13.09 " xfId="145"/>
    <cellStyle name="_BAO CAO N14.08 " xfId="146"/>
    <cellStyle name="_BAO CAO N14.09 " xfId="147"/>
    <cellStyle name="_BAO CAO N16.08 " xfId="148"/>
    <cellStyle name="_BAO CAO N16.09 " xfId="149"/>
    <cellStyle name="_BAO CAO N17.08 " xfId="150"/>
    <cellStyle name="_BAO CAO N18.08 " xfId="151"/>
    <cellStyle name="_BAO CAO N18.09 " xfId="152"/>
    <cellStyle name="_BAO CAO N19.07 " xfId="153"/>
    <cellStyle name="_BAO CAO N19.08 " xfId="154"/>
    <cellStyle name="_BAO CAO N19.09 " xfId="155"/>
    <cellStyle name="_BAO CAO N20.09 " xfId="156"/>
    <cellStyle name="_BAO CAO N21.07 " xfId="157"/>
    <cellStyle name="_BAO CAO N21.08 " xfId="158"/>
    <cellStyle name="_BAO CAO N21.09 " xfId="159"/>
    <cellStyle name="_BAO CAO N22.07 " xfId="160"/>
    <cellStyle name="_BAO CAO N22.08 " xfId="161"/>
    <cellStyle name="_BAO CAO N22.09 " xfId="162"/>
    <cellStyle name="_BAO CAO N23.08 " xfId="163"/>
    <cellStyle name="_BAO CAO N23.09 " xfId="164"/>
    <cellStyle name="_BAO CAO N24.08 " xfId="165"/>
    <cellStyle name="_BAO CAO N25.07 " xfId="166"/>
    <cellStyle name="_BAO CAO N25.08 " xfId="167"/>
    <cellStyle name="_BAO CAO N26.07 " xfId="168"/>
    <cellStyle name="_BAO CAO N26.08 " xfId="169"/>
    <cellStyle name="_BAO CAO N27.07 " xfId="170"/>
    <cellStyle name="_BAO CAO N28.07 " xfId="171"/>
    <cellStyle name="_BAO CAO N28.08 " xfId="172"/>
    <cellStyle name="_BAO CAO N29.07 " xfId="173"/>
    <cellStyle name="_BAO CAO N29.07 _BAO CAO N17.08 " xfId="174"/>
    <cellStyle name="_BAO CAO N29.08 " xfId="175"/>
    <cellStyle name="_BAO CAO N30.08 " xfId="176"/>
    <cellStyle name="_Book1" xfId="177"/>
    <cellStyle name="_Book1_1" xfId="178"/>
    <cellStyle name="_Book1_BC-QT-WB-dthao" xfId="179"/>
    <cellStyle name="_Book1_Chi_phi_627_theo_thang_08 " xfId="180"/>
    <cellStyle name="_Book1_ITA 100 - TAS - H section - Investment - 31.12.07" xfId="181"/>
    <cellStyle name="_Book1_ITA 100 - TAS - H section - Investment - 31.12.07_BAO GIA-moi" xfId="182"/>
    <cellStyle name="_Book1_ITA 100 - TAS - H section - Investment - 31.12.07_BAO GIA-moi 2" xfId="183"/>
    <cellStyle name="_Book1_ITA 100 - TAS - H section - Investment - 31.12.07_BAO GIA-moi 3" xfId="184"/>
    <cellStyle name="_Book1_ITA 100 - TAS - H section - Investment - 31.12.07_BAO GIA-moi 4" xfId="185"/>
    <cellStyle name="_Book1_ITA 100 - TAS - H section - Investment - 31.12.07_BAO GIA-moi 5" xfId="186"/>
    <cellStyle name="_Book1_ITA 100 - TAS - H section - Investment - 31.12.07_BAO GIA-moi_Dat kinh so   -17082012-Nha A Trung TGD" xfId="187"/>
    <cellStyle name="_Book1_ITA 100 - TAS - H section - Investment - 31.12.07_BAO GIA-moi_KINH NHA CO NGA 18-09-12" xfId="188"/>
    <cellStyle name="_Book1_ITA 100 - TAS - H section - Investment - 31.12.07_BAO GIA-moi_thong ke kinh PHONG mau-sxl1" xfId="189"/>
    <cellStyle name="_Book1_ITA 100 - TAS - H section - Investment - 31.12.07_BAO GIA-moi_thong ke kinh Tang mau-sxl1" xfId="190"/>
    <cellStyle name="_Book1_ITA 100 - TAS - H section - Investment - 31.12.07_CSMH 1C" xfId="191"/>
    <cellStyle name="_Book1_ITA 100 - TAS - H section - Investment - 31.12.07_Sliding door&amp;window SR_SF" xfId="192"/>
    <cellStyle name="_Book1_ITA 100 - TAS - H section - Investment - 31.12.07_Sliding door&amp;window SR_SF 2" xfId="193"/>
    <cellStyle name="_Book1_ITA 100 - TAS - H section - Investment - 31.12.07_Sliding door&amp;window SR_SF 3" xfId="194"/>
    <cellStyle name="_Book1_ITA 100 - TAS - H section - Investment - 31.12.07_Sliding door&amp;window SR_SF 4" xfId="195"/>
    <cellStyle name="_Book1_ITA 100 - TAS - H section - Investment - 31.12.07_Sliding door&amp;window SR_SF 5" xfId="196"/>
    <cellStyle name="_Book1_ITA 100 - TAS - H section - Investment - 31.12.07_Sliding door&amp;window SR_SF_Dat kinh so   -17082012-Nha A Trung TGD" xfId="197"/>
    <cellStyle name="_Book1_ITA 100 - TAS - H section - Investment - 31.12.07_Sliding door&amp;window SR_SF_KINH NHA CO NGA 18-09-12" xfId="198"/>
    <cellStyle name="_Book1_ITA 100 - TAS - H section - Investment - 31.12.07_Sliding door&amp;window SR_SF_thong ke kinh PHONG mau-sxl1" xfId="199"/>
    <cellStyle name="_Book1_ITA 100 - TAS - H section - Investment - 31.12.07_Sliding door&amp;window SR_SF_thong ke kinh Tang mau-sxl1" xfId="200"/>
    <cellStyle name="_Book1_ITA 100 - TAS - S section - Sales-31.12.07" xfId="201"/>
    <cellStyle name="_Book1_ITA 100 - TAS - S section - Sales-31.12.07_BAO GIA-moi" xfId="202"/>
    <cellStyle name="_Book1_ITA 100 - TAS - S section - Sales-31.12.07_BAO GIA-moi 2" xfId="203"/>
    <cellStyle name="_Book1_ITA 100 - TAS - S section - Sales-31.12.07_BAO GIA-moi 3" xfId="204"/>
    <cellStyle name="_Book1_ITA 100 - TAS - S section - Sales-31.12.07_BAO GIA-moi 4" xfId="205"/>
    <cellStyle name="_Book1_ITA 100 - TAS - S section - Sales-31.12.07_BAO GIA-moi 5" xfId="206"/>
    <cellStyle name="_Book1_ITA 100 - TAS - S section - Sales-31.12.07_BAO GIA-moi_Dat kinh so   -17082012-Nha A Trung TGD" xfId="207"/>
    <cellStyle name="_Book1_ITA 100 - TAS - S section - Sales-31.12.07_BAO GIA-moi_KINH NHA CO NGA 18-09-12" xfId="208"/>
    <cellStyle name="_Book1_ITA 100 - TAS - S section - Sales-31.12.07_BAO GIA-moi_thong ke kinh PHONG mau-sxl1" xfId="209"/>
    <cellStyle name="_Book1_ITA 100 - TAS - S section - Sales-31.12.07_BAO GIA-moi_thong ke kinh Tang mau-sxl1" xfId="210"/>
    <cellStyle name="_Book1_ITA 100 - TAS - S section - Sales-31.12.07_CSMH 1C" xfId="211"/>
    <cellStyle name="_Book1_ITA 100 - TAS - S section - Sales-31.12.07_Sliding door&amp;window SR_SF" xfId="212"/>
    <cellStyle name="_Book1_ITA 100 - TAS - S section - Sales-31.12.07_Sliding door&amp;window SR_SF 2" xfId="213"/>
    <cellStyle name="_Book1_ITA 100 - TAS - S section - Sales-31.12.07_Sliding door&amp;window SR_SF 3" xfId="214"/>
    <cellStyle name="_Book1_ITA 100 - TAS - S section - Sales-31.12.07_Sliding door&amp;window SR_SF 4" xfId="215"/>
    <cellStyle name="_Book1_ITA 100 - TAS - S section - Sales-31.12.07_Sliding door&amp;window SR_SF 5" xfId="216"/>
    <cellStyle name="_Book1_ITA 100 - TAS - S section - Sales-31.12.07_Sliding door&amp;window SR_SF_Dat kinh so   -17082012-Nha A Trung TGD" xfId="217"/>
    <cellStyle name="_Book1_ITA 100 - TAS - S section - Sales-31.12.07_Sliding door&amp;window SR_SF_KINH NHA CO NGA 18-09-12" xfId="218"/>
    <cellStyle name="_Book1_ITA 100 - TAS - S section - Sales-31.12.07_Sliding door&amp;window SR_SF_thong ke kinh PHONG mau-sxl1" xfId="219"/>
    <cellStyle name="_Book1_ITA 100 - TAS - S section - Sales-31.12.07_Sliding door&amp;window SR_SF_thong ke kinh Tang mau-sxl1" xfId="220"/>
    <cellStyle name="_Castrol - Sales &amp; AR - NTHH" xfId="221"/>
    <cellStyle name="_Castrol - Sales &amp; AR - NTHH_BAO GIA-moi" xfId="222"/>
    <cellStyle name="_Castrol - Sales &amp; AR - NTHH_BAO GIA-moi 2" xfId="223"/>
    <cellStyle name="_Castrol - Sales &amp; AR - NTHH_BAO GIA-moi 3" xfId="224"/>
    <cellStyle name="_Castrol - Sales &amp; AR - NTHH_BAO GIA-moi 4" xfId="225"/>
    <cellStyle name="_Castrol - Sales &amp; AR - NTHH_BAO GIA-moi 5" xfId="226"/>
    <cellStyle name="_Castrol - Sales &amp; AR - NTHH_BAO GIA-moi_Dat kinh so   -17082012-Nha A Trung TGD" xfId="227"/>
    <cellStyle name="_Castrol - Sales &amp; AR - NTHH_BAO GIA-moi_KINH NHA CO NGA 18-09-12" xfId="228"/>
    <cellStyle name="_Castrol - Sales &amp; AR - NTHH_BAO GIA-moi_thong ke kinh PHONG mau-sxl1" xfId="229"/>
    <cellStyle name="_Castrol - Sales &amp; AR - NTHH_BAO GIA-moi_thong ke kinh Tang mau-sxl1" xfId="230"/>
    <cellStyle name="_Castrol - Sales &amp; AR - NTHH_CSMH 1C" xfId="231"/>
    <cellStyle name="_Castrol - Sales &amp; AR - NTHH_Sliding door&amp;window SR_SF" xfId="232"/>
    <cellStyle name="_Castrol - Sales &amp; AR - NTHH_Sliding door&amp;window SR_SF 2" xfId="233"/>
    <cellStyle name="_Castrol - Sales &amp; AR - NTHH_Sliding door&amp;window SR_SF 3" xfId="234"/>
    <cellStyle name="_Castrol - Sales &amp; AR - NTHH_Sliding door&amp;window SR_SF 4" xfId="235"/>
    <cellStyle name="_Castrol - Sales &amp; AR - NTHH_Sliding door&amp;window SR_SF 5" xfId="236"/>
    <cellStyle name="_Castrol - Sales &amp; AR - NTHH_Sliding door&amp;window SR_SF_Dat kinh so   -17082012-Nha A Trung TGD" xfId="237"/>
    <cellStyle name="_Castrol - Sales &amp; AR - NTHH_Sliding door&amp;window SR_SF_KINH NHA CO NGA 18-09-12" xfId="238"/>
    <cellStyle name="_Castrol - Sales &amp; AR - NTHH_Sliding door&amp;window SR_SF_thong ke kinh PHONG mau-sxl1" xfId="239"/>
    <cellStyle name="_Castrol - Sales &amp; AR - NTHH_Sliding door&amp;window SR_SF_thong ke kinh Tang mau-sxl1" xfId="240"/>
    <cellStyle name="_Castrol - Stock WPs - NTHH" xfId="241"/>
    <cellStyle name="_CDKT-(01-12).2006NEW" xfId="242"/>
    <cellStyle name="_CDKT-(01-12).2006NEW v1" xfId="243"/>
    <cellStyle name="_CDKT-(01-12).2006NEW2" xfId="244"/>
    <cellStyle name="_Chi_phi_627_theo_thang_08 " xfId="245"/>
    <cellStyle name="_Cong bo thong tin tom tat Q42007 " xfId="246"/>
    <cellStyle name="_Cong bo thong tin tom tat Q42007 _BAO GIA-moi" xfId="247"/>
    <cellStyle name="_Cong bo thong tin tom tat Q42007 _BAO GIA-moi 2" xfId="248"/>
    <cellStyle name="_Cong bo thong tin tom tat Q42007 _BAO GIA-moi 3" xfId="249"/>
    <cellStyle name="_Cong bo thong tin tom tat Q42007 _BAO GIA-moi 4" xfId="250"/>
    <cellStyle name="_Cong bo thong tin tom tat Q42007 _BAO GIA-moi 5" xfId="251"/>
    <cellStyle name="_Cong bo thong tin tom tat Q42007 _BAO GIA-moi_Dat kinh so   -17082012-Nha A Trung TGD" xfId="252"/>
    <cellStyle name="_Cong bo thong tin tom tat Q42007 _BAO GIA-moi_KINH NHA CO NGA 18-09-12" xfId="253"/>
    <cellStyle name="_Cong bo thong tin tom tat Q42007 _BAO GIA-moi_thong ke kinh PHONG mau-sxl1" xfId="254"/>
    <cellStyle name="_Cong bo thong tin tom tat Q42007 _BAO GIA-moi_thong ke kinh Tang mau-sxl1" xfId="255"/>
    <cellStyle name="_Cong bo thong tin tom tat Q42007 _CSMH 1C" xfId="256"/>
    <cellStyle name="_Cong bo thong tin tom tat Q42007 _Sliding door&amp;window SR_SF" xfId="257"/>
    <cellStyle name="_Cong bo thong tin tom tat Q42007 _Sliding door&amp;window SR_SF 2" xfId="258"/>
    <cellStyle name="_Cong bo thong tin tom tat Q42007 _Sliding door&amp;window SR_SF 3" xfId="259"/>
    <cellStyle name="_Cong bo thong tin tom tat Q42007 _Sliding door&amp;window SR_SF 4" xfId="260"/>
    <cellStyle name="_Cong bo thong tin tom tat Q42007 _Sliding door&amp;window SR_SF 5" xfId="261"/>
    <cellStyle name="_Cong bo thong tin tom tat Q42007 _Sliding door&amp;window SR_SF_Dat kinh so   -17082012-Nha A Trung TGD" xfId="262"/>
    <cellStyle name="_Cong bo thong tin tom tat Q42007 _Sliding door&amp;window SR_SF_KINH NHA CO NGA 18-09-12" xfId="263"/>
    <cellStyle name="_Cong bo thong tin tom tat Q42007 _Sliding door&amp;window SR_SF_thong ke kinh PHONG mau-sxl1" xfId="264"/>
    <cellStyle name="_Cong bo thong tin tom tat Q42007 _Sliding door&amp;window SR_SF_thong ke kinh Tang mau-sxl1" xfId="265"/>
    <cellStyle name="_Copy of BAO CAO N31.07 " xfId="266"/>
    <cellStyle name="_Copy of Cost - Expanded area" xfId="267"/>
    <cellStyle name="_CS 1 canh mo ra ngoai" xfId="268"/>
    <cellStyle name="_CS 1 canh mo ra ngoai_BAO GIA-moi" xfId="269"/>
    <cellStyle name="_CS 1 canh mo ra ngoai_BAO GIA-moi 2" xfId="270"/>
    <cellStyle name="_CS 1 canh mo ra ngoai_BAO GIA-moi 3" xfId="271"/>
    <cellStyle name="_CS 1 canh mo ra ngoai_BAO GIA-moi 4" xfId="272"/>
    <cellStyle name="_CS 1 canh mo ra ngoai_BAO GIA-moi 5" xfId="273"/>
    <cellStyle name="_CS 1 canh mo ra ngoai_BAO GIA-moi_Dat kinh so   -17082012-Nha A Trung TGD" xfId="274"/>
    <cellStyle name="_CS 1 canh mo ra ngoai_BAO GIA-moi_KINH NHA CO NGA 18-09-12" xfId="275"/>
    <cellStyle name="_CS 1 canh mo ra ngoai_BAO GIA-moi_thong ke kinh PHONG mau-sxl1" xfId="276"/>
    <cellStyle name="_CS 1 canh mo ra ngoai_BAO GIA-moi_thong ke kinh Tang mau-sxl1" xfId="277"/>
    <cellStyle name="_CS 1 canh mo ra ngoai_CSMH 1C" xfId="278"/>
    <cellStyle name="_CS 1 canh mo ra ngoai_Sliding door&amp;window SR_SF" xfId="279"/>
    <cellStyle name="_CS 1 canh mo ra ngoai_Sliding door&amp;window SR_SF 2" xfId="280"/>
    <cellStyle name="_CS 1 canh mo ra ngoai_Sliding door&amp;window SR_SF 3" xfId="281"/>
    <cellStyle name="_CS 1 canh mo ra ngoai_Sliding door&amp;window SR_SF 4" xfId="282"/>
    <cellStyle name="_CS 1 canh mo ra ngoai_Sliding door&amp;window SR_SF 5" xfId="283"/>
    <cellStyle name="_CS 1 canh mo ra ngoai_Sliding door&amp;window SR_SF_Dat kinh so   -17082012-Nha A Trung TGD" xfId="284"/>
    <cellStyle name="_CS 1 canh mo ra ngoai_Sliding door&amp;window SR_SF_KINH NHA CO NGA 18-09-12" xfId="285"/>
    <cellStyle name="_CS 1 canh mo ra ngoai_Sliding door&amp;window SR_SF_thong ke kinh PHONG mau-sxl1" xfId="286"/>
    <cellStyle name="_CS 1 canh mo ra ngoai_Sliding door&amp;window SR_SF_thong ke kinh Tang mau-sxl1" xfId="287"/>
    <cellStyle name="_CS 2 canh" xfId="288"/>
    <cellStyle name="_CS 2 canh_BAO GIA-moi" xfId="289"/>
    <cellStyle name="_CS 2 canh_BAO GIA-moi 2" xfId="290"/>
    <cellStyle name="_CS 2 canh_BAO GIA-moi 3" xfId="291"/>
    <cellStyle name="_CS 2 canh_BAO GIA-moi 4" xfId="292"/>
    <cellStyle name="_CS 2 canh_BAO GIA-moi 5" xfId="293"/>
    <cellStyle name="_CS 2 canh_BAO GIA-moi_Dat kinh so   -17082012-Nha A Trung TGD" xfId="294"/>
    <cellStyle name="_CS 2 canh_BAO GIA-moi_KINH NHA CO NGA 18-09-12" xfId="295"/>
    <cellStyle name="_CS 2 canh_BAO GIA-moi_thong ke kinh PHONG mau-sxl1" xfId="296"/>
    <cellStyle name="_CS 2 canh_BAO GIA-moi_thong ke kinh Tang mau-sxl1" xfId="297"/>
    <cellStyle name="_CS 2 canh_CSMH 1C" xfId="298"/>
    <cellStyle name="_CS 2 canh_Sliding door&amp;window SR_SF" xfId="299"/>
    <cellStyle name="_CS 2 canh_Sliding door&amp;window SR_SF 2" xfId="300"/>
    <cellStyle name="_CS 2 canh_Sliding door&amp;window SR_SF 3" xfId="301"/>
    <cellStyle name="_CS 2 canh_Sliding door&amp;window SR_SF 4" xfId="302"/>
    <cellStyle name="_CS 2 canh_Sliding door&amp;window SR_SF 5" xfId="303"/>
    <cellStyle name="_CS 2 canh_Sliding door&amp;window SR_SF_Dat kinh so   -17082012-Nha A Trung TGD" xfId="304"/>
    <cellStyle name="_CS 2 canh_Sliding door&amp;window SR_SF_KINH NHA CO NGA 18-09-12" xfId="305"/>
    <cellStyle name="_CS 2 canh_Sliding door&amp;window SR_SF_thong ke kinh PHONG mau-sxl1" xfId="306"/>
    <cellStyle name="_CS 2 canh_Sliding door&amp;window SR_SF_thong ke kinh Tang mau-sxl1" xfId="307"/>
    <cellStyle name="_CỬA ĐI 2 cánh - mở lùa" xfId="308"/>
    <cellStyle name="_CỬA ĐI 2 cánh - mở lùa_BAO GIA-moi" xfId="309"/>
    <cellStyle name="_CỬA ĐI 2 cánh - mở lùa_BAO GIA-moi 2" xfId="310"/>
    <cellStyle name="_CỬA ĐI 2 cánh - mở lùa_BAO GIA-moi 3" xfId="311"/>
    <cellStyle name="_CỬA ĐI 2 cánh - mở lùa_BAO GIA-moi 4" xfId="312"/>
    <cellStyle name="_CỬA ĐI 2 cánh - mở lùa_BAO GIA-moi 5" xfId="313"/>
    <cellStyle name="_CỬA ĐI 2 cánh - mở lùa_BAO GIA-moi_Dat kinh so   -17082012-Nha A Trung TGD" xfId="314"/>
    <cellStyle name="_CỬA ĐI 2 cánh - mở lùa_BAO GIA-moi_KINH NHA CO NGA 18-09-12" xfId="315"/>
    <cellStyle name="_CỬA ĐI 2 cánh - mở lùa_BAO GIA-moi_thong ke kinh PHONG mau-sxl1" xfId="316"/>
    <cellStyle name="_CỬA ĐI 2 cánh - mở lùa_BAO GIA-moi_thong ke kinh Tang mau-sxl1" xfId="317"/>
    <cellStyle name="_CỬA ĐI 2 cánh - mở lùa_CSMH 1C" xfId="318"/>
    <cellStyle name="_CỬA ĐI 2 cánh - mở lùa_Sliding door&amp;window SR_SF" xfId="319"/>
    <cellStyle name="_CỬA ĐI 2 cánh - mở lùa_Sliding door&amp;window SR_SF 2" xfId="320"/>
    <cellStyle name="_CỬA ĐI 2 cánh - mở lùa_Sliding door&amp;window SR_SF 3" xfId="321"/>
    <cellStyle name="_CỬA ĐI 2 cánh - mở lùa_Sliding door&amp;window SR_SF 4" xfId="322"/>
    <cellStyle name="_CỬA ĐI 2 cánh - mở lùa_Sliding door&amp;window SR_SF 5" xfId="323"/>
    <cellStyle name="_CỬA ĐI 2 cánh - mở lùa_Sliding door&amp;window SR_SF_Dat kinh so   -17082012-Nha A Trung TGD" xfId="324"/>
    <cellStyle name="_CỬA ĐI 2 cánh - mở lùa_Sliding door&amp;window SR_SF_KINH NHA CO NGA 18-09-12" xfId="325"/>
    <cellStyle name="_CỬA ĐI 2 cánh - mở lùa_Sliding door&amp;window SR_SF_thong ke kinh PHONG mau-sxl1" xfId="326"/>
    <cellStyle name="_CỬA ĐI 2 cánh - mở lùa_Sliding door&amp;window SR_SF_thong ke kinh Tang mau-sxl1" xfId="327"/>
    <cellStyle name="_CỬA ĐI 2 canh- mo quay" xfId="328"/>
    <cellStyle name="_CỬA ĐI 2 canh- mo quay_BAO GIA-moi" xfId="329"/>
    <cellStyle name="_CỬA ĐI 2 canh- mo quay_BAO GIA-moi 2" xfId="330"/>
    <cellStyle name="_CỬA ĐI 2 canh- mo quay_BAO GIA-moi 3" xfId="331"/>
    <cellStyle name="_CỬA ĐI 2 canh- mo quay_BAO GIA-moi 4" xfId="332"/>
    <cellStyle name="_CỬA ĐI 2 canh- mo quay_BAO GIA-moi 5" xfId="333"/>
    <cellStyle name="_CỬA ĐI 2 canh- mo quay_BAO GIA-moi_Dat kinh so   -17082012-Nha A Trung TGD" xfId="334"/>
    <cellStyle name="_CỬA ĐI 2 canh- mo quay_BAO GIA-moi_KINH NHA CO NGA 18-09-12" xfId="335"/>
    <cellStyle name="_CỬA ĐI 2 canh- mo quay_BAO GIA-moi_thong ke kinh PHONG mau-sxl1" xfId="336"/>
    <cellStyle name="_CỬA ĐI 2 canh- mo quay_BAO GIA-moi_thong ke kinh Tang mau-sxl1" xfId="337"/>
    <cellStyle name="_CỬA ĐI 2 canh- mo quay_CSMH 1C" xfId="338"/>
    <cellStyle name="_CỬA ĐI 2 canh- mo quay_Sliding door&amp;window SR_SF" xfId="339"/>
    <cellStyle name="_CỬA ĐI 2 canh- mo quay_Sliding door&amp;window SR_SF 2" xfId="340"/>
    <cellStyle name="_CỬA ĐI 2 canh- mo quay_Sliding door&amp;window SR_SF 3" xfId="341"/>
    <cellStyle name="_CỬA ĐI 2 canh- mo quay_Sliding door&amp;window SR_SF 4" xfId="342"/>
    <cellStyle name="_CỬA ĐI 2 canh- mo quay_Sliding door&amp;window SR_SF 5" xfId="343"/>
    <cellStyle name="_CỬA ĐI 2 canh- mo quay_Sliding door&amp;window SR_SF_Dat kinh so   -17082012-Nha A Trung TGD" xfId="344"/>
    <cellStyle name="_CỬA ĐI 2 canh- mo quay_Sliding door&amp;window SR_SF_KINH NHA CO NGA 18-09-12" xfId="345"/>
    <cellStyle name="_CỬA ĐI 2 canh- mo quay_Sliding door&amp;window SR_SF_thong ke kinh PHONG mau-sxl1" xfId="346"/>
    <cellStyle name="_CỬA ĐI 2 canh- mo quay_Sliding door&amp;window SR_SF_thong ke kinh Tang mau-sxl1" xfId="347"/>
    <cellStyle name="_CỬA SỔ 2 CÁNH (ĐÃ LUỘC ĐỒ)" xfId="348"/>
    <cellStyle name="_CỬA SỔ 2 CÁNH (ĐÃ LUỘC ĐỒ)_BAO GIA-moi" xfId="349"/>
    <cellStyle name="_CỬA SỔ 2 CÁNH (ĐÃ LUỘC ĐỒ)_BAO GIA-moi 2" xfId="350"/>
    <cellStyle name="_CỬA SỔ 2 CÁNH (ĐÃ LUỘC ĐỒ)_BAO GIA-moi 3" xfId="351"/>
    <cellStyle name="_CỬA SỔ 2 CÁNH (ĐÃ LUỘC ĐỒ)_BAO GIA-moi 4" xfId="352"/>
    <cellStyle name="_CỬA SỔ 2 CÁNH (ĐÃ LUỘC ĐỒ)_BAO GIA-moi 5" xfId="353"/>
    <cellStyle name="_CỬA SỔ 2 CÁNH (ĐÃ LUỘC ĐỒ)_BAO GIA-moi_Dat kinh so   -17082012-Nha A Trung TGD" xfId="354"/>
    <cellStyle name="_CỬA SỔ 2 CÁNH (ĐÃ LUỘC ĐỒ)_BAO GIA-moi_KINH NHA CO NGA 18-09-12" xfId="355"/>
    <cellStyle name="_CỬA SỔ 2 CÁNH (ĐÃ LUỘC ĐỒ)_BAO GIA-moi_thong ke kinh PHONG mau-sxl1" xfId="356"/>
    <cellStyle name="_CỬA SỔ 2 CÁNH (ĐÃ LUỘC ĐỒ)_BAO GIA-moi_thong ke kinh Tang mau-sxl1" xfId="357"/>
    <cellStyle name="_CỬA SỔ 2 CÁNH (ĐÃ LUỘC ĐỒ)_CSMH 1C" xfId="358"/>
    <cellStyle name="_CỬA SỔ 2 CÁNH (ĐÃ LUỘC ĐỒ)_Sliding door&amp;window SR_SF" xfId="359"/>
    <cellStyle name="_CỬA SỔ 2 CÁNH (ĐÃ LUỘC ĐỒ)_Sliding door&amp;window SR_SF 2" xfId="360"/>
    <cellStyle name="_CỬA SỔ 2 CÁNH (ĐÃ LUỘC ĐỒ)_Sliding door&amp;window SR_SF 3" xfId="361"/>
    <cellStyle name="_CỬA SỔ 2 CÁNH (ĐÃ LUỘC ĐỒ)_Sliding door&amp;window SR_SF 4" xfId="362"/>
    <cellStyle name="_CỬA SỔ 2 CÁNH (ĐÃ LUỘC ĐỒ)_Sliding door&amp;window SR_SF 5" xfId="363"/>
    <cellStyle name="_CỬA SỔ 2 CÁNH (ĐÃ LUỘC ĐỒ)_Sliding door&amp;window SR_SF_Dat kinh so   -17082012-Nha A Trung TGD" xfId="364"/>
    <cellStyle name="_CỬA SỔ 2 CÁNH (ĐÃ LUỘC ĐỒ)_Sliding door&amp;window SR_SF_KINH NHA CO NGA 18-09-12" xfId="365"/>
    <cellStyle name="_CỬA SỔ 2 CÁNH (ĐÃ LUỘC ĐỒ)_Sliding door&amp;window SR_SF_thong ke kinh PHONG mau-sxl1" xfId="366"/>
    <cellStyle name="_CỬA SỔ 2 CÁNH (ĐÃ LUỘC ĐỒ)_Sliding door&amp;window SR_SF_thong ke kinh Tang mau-sxl1" xfId="367"/>
    <cellStyle name="_cua so lua 2 canh" xfId="368"/>
    <cellStyle name="_cua so lua 2 canh_BAO GIA-moi" xfId="369"/>
    <cellStyle name="_cua so lua 2 canh_BAO GIA-moi 2" xfId="370"/>
    <cellStyle name="_cua so lua 2 canh_BAO GIA-moi 3" xfId="371"/>
    <cellStyle name="_cua so lua 2 canh_BAO GIA-moi 4" xfId="372"/>
    <cellStyle name="_cua so lua 2 canh_BAO GIA-moi 5" xfId="373"/>
    <cellStyle name="_cua so lua 2 canh_BAO GIA-moi_Dat kinh so   -17082012-Nha A Trung TGD" xfId="374"/>
    <cellStyle name="_cua so lua 2 canh_BAO GIA-moi_KINH NHA CO NGA 18-09-12" xfId="375"/>
    <cellStyle name="_cua so lua 2 canh_BAO GIA-moi_thong ke kinh PHONG mau-sxl1" xfId="376"/>
    <cellStyle name="_cua so lua 2 canh_BAO GIA-moi_thong ke kinh Tang mau-sxl1" xfId="377"/>
    <cellStyle name="_cua so lua 2 canh_CSMH 1C" xfId="378"/>
    <cellStyle name="_cua so lua 2 canh_Sliding door&amp;window SR_SF" xfId="379"/>
    <cellStyle name="_cua so lua 2 canh_Sliding door&amp;window SR_SF 2" xfId="380"/>
    <cellStyle name="_cua so lua 2 canh_Sliding door&amp;window SR_SF 3" xfId="381"/>
    <cellStyle name="_cua so lua 2 canh_Sliding door&amp;window SR_SF 4" xfId="382"/>
    <cellStyle name="_cua so lua 2 canh_Sliding door&amp;window SR_SF 5" xfId="383"/>
    <cellStyle name="_cua so lua 2 canh_Sliding door&amp;window SR_SF_Dat kinh so   -17082012-Nha A Trung TGD" xfId="384"/>
    <cellStyle name="_cua so lua 2 canh_Sliding door&amp;window SR_SF_KINH NHA CO NGA 18-09-12" xfId="385"/>
    <cellStyle name="_cua so lua 2 canh_Sliding door&amp;window SR_SF_thong ke kinh PHONG mau-sxl1" xfId="386"/>
    <cellStyle name="_cua so lua 2 canh_Sliding door&amp;window SR_SF_thong ke kinh Tang mau-sxl1" xfId="387"/>
    <cellStyle name="_E section" xfId="388"/>
    <cellStyle name="_EXPENSES-1206" xfId="389"/>
    <cellStyle name="_EXPENSES-1206_BAO GIA-moi" xfId="390"/>
    <cellStyle name="_EXPENSES-1206_BAO GIA-moi 2" xfId="391"/>
    <cellStyle name="_EXPENSES-1206_BAO GIA-moi 3" xfId="392"/>
    <cellStyle name="_EXPENSES-1206_BAO GIA-moi 4" xfId="393"/>
    <cellStyle name="_EXPENSES-1206_BAO GIA-moi 5" xfId="394"/>
    <cellStyle name="_EXPENSES-1206_BAO GIA-moi_Dat kinh so   -17082012-Nha A Trung TGD" xfId="395"/>
    <cellStyle name="_EXPENSES-1206_BAO GIA-moi_KINH NHA CO NGA 18-09-12" xfId="396"/>
    <cellStyle name="_EXPENSES-1206_BAO GIA-moi_thong ke kinh PHONG mau-sxl1" xfId="397"/>
    <cellStyle name="_EXPENSES-1206_BAO GIA-moi_thong ke kinh Tang mau-sxl1" xfId="398"/>
    <cellStyle name="_EXPENSES-1206_CSMH 1C" xfId="399"/>
    <cellStyle name="_EXPENSES-1206_Sliding door&amp;window SR_SF" xfId="400"/>
    <cellStyle name="_EXPENSES-1206_Sliding door&amp;window SR_SF 2" xfId="401"/>
    <cellStyle name="_EXPENSES-1206_Sliding door&amp;window SR_SF 3" xfId="402"/>
    <cellStyle name="_EXPENSES-1206_Sliding door&amp;window SR_SF 4" xfId="403"/>
    <cellStyle name="_EXPENSES-1206_Sliding door&amp;window SR_SF 5" xfId="404"/>
    <cellStyle name="_EXPENSES-1206_Sliding door&amp;window SR_SF_Dat kinh so   -17082012-Nha A Trung TGD" xfId="405"/>
    <cellStyle name="_EXPENSES-1206_Sliding door&amp;window SR_SF_KINH NHA CO NGA 18-09-12" xfId="406"/>
    <cellStyle name="_EXPENSES-1206_Sliding door&amp;window SR_SF_thong ke kinh PHONG mau-sxl1" xfId="407"/>
    <cellStyle name="_EXPENSES-1206_Sliding door&amp;window SR_SF_thong ke kinh Tang mau-sxl1" xfId="408"/>
    <cellStyle name="_F. Stock-v3.2005.HTE" xfId="409"/>
    <cellStyle name="_F. Stock-v3.2005.HTE_BAO GIA-moi" xfId="410"/>
    <cellStyle name="_F. Stock-v3.2005.HTE_BAO GIA-moi 2" xfId="411"/>
    <cellStyle name="_F. Stock-v3.2005.HTE_BAO GIA-moi 3" xfId="412"/>
    <cellStyle name="_F. Stock-v3.2005.HTE_BAO GIA-moi 4" xfId="413"/>
    <cellStyle name="_F. Stock-v3.2005.HTE_BAO GIA-moi 5" xfId="414"/>
    <cellStyle name="_F. Stock-v3.2005.HTE_BAO GIA-moi_Dat kinh so   -17082012-Nha A Trung TGD" xfId="415"/>
    <cellStyle name="_F. Stock-v3.2005.HTE_BAO GIA-moi_KINH NHA CO NGA 18-09-12" xfId="416"/>
    <cellStyle name="_F. Stock-v3.2005.HTE_BAO GIA-moi_thong ke kinh PHONG mau-sxl1" xfId="417"/>
    <cellStyle name="_F. Stock-v3.2005.HTE_BAO GIA-moi_thong ke kinh Tang mau-sxl1" xfId="418"/>
    <cellStyle name="_F. Stock-v3.2005.HTE_CSMH 1C" xfId="419"/>
    <cellStyle name="_F. Stock-v3.2005.HTE_Sliding door&amp;window SR_SF" xfId="420"/>
    <cellStyle name="_F. Stock-v3.2005.HTE_Sliding door&amp;window SR_SF 2" xfId="421"/>
    <cellStyle name="_F. Stock-v3.2005.HTE_Sliding door&amp;window SR_SF 3" xfId="422"/>
    <cellStyle name="_F. Stock-v3.2005.HTE_Sliding door&amp;window SR_SF 4" xfId="423"/>
    <cellStyle name="_F. Stock-v3.2005.HTE_Sliding door&amp;window SR_SF 5" xfId="424"/>
    <cellStyle name="_F. Stock-v3.2005.HTE_Sliding door&amp;window SR_SF_Dat kinh so   -17082012-Nha A Trung TGD" xfId="425"/>
    <cellStyle name="_F. Stock-v3.2005.HTE_Sliding door&amp;window SR_SF_KINH NHA CO NGA 18-09-12" xfId="426"/>
    <cellStyle name="_F. Stock-v3.2005.HTE_Sliding door&amp;window SR_SF_thong ke kinh PHONG mau-sxl1" xfId="427"/>
    <cellStyle name="_F. Stock-v3.2005.HTE_Sliding door&amp;window SR_SF_thong ke kinh Tang mau-sxl1" xfId="428"/>
    <cellStyle name="_Fixed Assets WPs 2006 v2" xfId="429"/>
    <cellStyle name="_Fixed Assets WPs 2006 v2_BAO GIA-moi" xfId="430"/>
    <cellStyle name="_Fixed Assets WPs 2006 v2_Casement door" xfId="431"/>
    <cellStyle name="_Fixed Assets WPs 2006 v2_Casement window" xfId="432"/>
    <cellStyle name="_Fixed Assets WPs 2006 v2_Sliding door&amp;window SR_SF" xfId="433"/>
    <cellStyle name="_FS 31 Dec 2006" xfId="434"/>
    <cellStyle name="_FS 31 Dec 2006_BAO GIA-moi" xfId="435"/>
    <cellStyle name="_FS 31 Dec 2006_BAO GIA-moi 2" xfId="436"/>
    <cellStyle name="_FS 31 Dec 2006_BAO GIA-moi 3" xfId="437"/>
    <cellStyle name="_FS 31 Dec 2006_BAO GIA-moi 4" xfId="438"/>
    <cellStyle name="_FS 31 Dec 2006_BAO GIA-moi 5" xfId="439"/>
    <cellStyle name="_FS 31 Dec 2006_BAO GIA-moi_Dat kinh so   -17082012-Nha A Trung TGD" xfId="440"/>
    <cellStyle name="_FS 31 Dec 2006_BAO GIA-moi_KINH NHA CO NGA 18-09-12" xfId="441"/>
    <cellStyle name="_FS 31 Dec 2006_BAO GIA-moi_thong ke kinh PHONG mau-sxl1" xfId="442"/>
    <cellStyle name="_FS 31 Dec 2006_BAO GIA-moi_thong ke kinh Tang mau-sxl1" xfId="443"/>
    <cellStyle name="_FS 31 Dec 2006_CSMH 1C" xfId="444"/>
    <cellStyle name="_FS 31 Dec 2006_Sliding door&amp;window SR_SF" xfId="445"/>
    <cellStyle name="_FS 31 Dec 2006_Sliding door&amp;window SR_SF 2" xfId="446"/>
    <cellStyle name="_FS 31 Dec 2006_Sliding door&amp;window SR_SF 3" xfId="447"/>
    <cellStyle name="_FS 31 Dec 2006_Sliding door&amp;window SR_SF 4" xfId="448"/>
    <cellStyle name="_FS 31 Dec 2006_Sliding door&amp;window SR_SF 5" xfId="449"/>
    <cellStyle name="_FS 31 Dec 2006_Sliding door&amp;window SR_SF_Dat kinh so   -17082012-Nha A Trung TGD" xfId="450"/>
    <cellStyle name="_FS 31 Dec 2006_Sliding door&amp;window SR_SF_KINH NHA CO NGA 18-09-12" xfId="451"/>
    <cellStyle name="_FS 31 Dec 2006_Sliding door&amp;window SR_SF_thong ke kinh PHONG mau-sxl1" xfId="452"/>
    <cellStyle name="_FS 31 Dec 2006_Sliding door&amp;window SR_SF_thong ke kinh Tang mau-sxl1" xfId="453"/>
    <cellStyle name="_Fsection" xfId="454"/>
    <cellStyle name="_G section_advance to employee 141-05" xfId="455"/>
    <cellStyle name="_HAN SU DUNG" xfId="456"/>
    <cellStyle name="_Harada - Taxations 311206 - v1" xfId="457"/>
    <cellStyle name="_Harada - Taxations 311206 - v1_BAO GIA-moi" xfId="458"/>
    <cellStyle name="_Harada - Taxations 311206 - v1_Casement door" xfId="459"/>
    <cellStyle name="_Harada - Taxations 311206 - v1_Casement window" xfId="460"/>
    <cellStyle name="_Harada - Taxations 311206 - v1_Sliding door&amp;window SR_SF" xfId="461"/>
    <cellStyle name="_HoSoQTThue2006" xfId="462"/>
    <cellStyle name="_HoSoQTThue2006 v1" xfId="463"/>
    <cellStyle name="_HoSoQTThue2006_11h_30032007_sent EY" xfId="464"/>
    <cellStyle name="_ICP - WTB 31 Dec 06" xfId="465"/>
    <cellStyle name="_ICP -SAD 2006" xfId="466"/>
    <cellStyle name="_ICP -SAD 2006_BAO GIA-moi" xfId="467"/>
    <cellStyle name="_ICP -SAD 2006_BAO GIA-moi 2" xfId="468"/>
    <cellStyle name="_ICP -SAD 2006_BAO GIA-moi 3" xfId="469"/>
    <cellStyle name="_ICP -SAD 2006_BAO GIA-moi 4" xfId="470"/>
    <cellStyle name="_ICP -SAD 2006_BAO GIA-moi 5" xfId="471"/>
    <cellStyle name="_ICP -SAD 2006_BAO GIA-moi_Dat kinh so   -17082012-Nha A Trung TGD" xfId="472"/>
    <cellStyle name="_ICP -SAD 2006_BAO GIA-moi_KINH NHA CO NGA 18-09-12" xfId="473"/>
    <cellStyle name="_ICP -SAD 2006_BAO GIA-moi_thong ke kinh PHONG mau-sxl1" xfId="474"/>
    <cellStyle name="_ICP -SAD 2006_BAO GIA-moi_thong ke kinh Tang mau-sxl1" xfId="475"/>
    <cellStyle name="_ICP -SAD 2006_CSMH 1C" xfId="476"/>
    <cellStyle name="_ICP -SAD 2006_Sliding door&amp;window SR_SF" xfId="477"/>
    <cellStyle name="_ICP -SAD 2006_Sliding door&amp;window SR_SF 2" xfId="478"/>
    <cellStyle name="_ICP -SAD 2006_Sliding door&amp;window SR_SF 3" xfId="479"/>
    <cellStyle name="_ICP -SAD 2006_Sliding door&amp;window SR_SF 4" xfId="480"/>
    <cellStyle name="_ICP -SAD 2006_Sliding door&amp;window SR_SF 5" xfId="481"/>
    <cellStyle name="_ICP -SAD 2006_Sliding door&amp;window SR_SF_Dat kinh so   -17082012-Nha A Trung TGD" xfId="482"/>
    <cellStyle name="_ICP -SAD 2006_Sliding door&amp;window SR_SF_KINH NHA CO NGA 18-09-12" xfId="483"/>
    <cellStyle name="_ICP -SAD 2006_Sliding door&amp;window SR_SF_thong ke kinh PHONG mau-sxl1" xfId="484"/>
    <cellStyle name="_ICP -SAD 2006_Sliding door&amp;window SR_SF_thong ke kinh Tang mau-sxl1" xfId="485"/>
    <cellStyle name="_Intangible Assets detail WPs v2" xfId="486"/>
    <cellStyle name="_Intangible Assets detail WPs v2_BAO GIA-moi" xfId="487"/>
    <cellStyle name="_Intangible Assets detail WPs v2_Casement door" xfId="488"/>
    <cellStyle name="_Intangible Assets detail WPs v2_Casement window" xfId="489"/>
    <cellStyle name="_Intangible Assets detail WPs v2_Sliding door&amp;window SR_SF" xfId="490"/>
    <cellStyle name="_KD - Stock WPs - NTHH" xfId="491"/>
    <cellStyle name="_KD - Stock WPs - NTHH_BAO GIA-moi" xfId="492"/>
    <cellStyle name="_KD - Stock WPs - NTHH_BAO GIA-moi 2" xfId="493"/>
    <cellStyle name="_KD - Stock WPs - NTHH_BAO GIA-moi 3" xfId="494"/>
    <cellStyle name="_KD - Stock WPs - NTHH_BAO GIA-moi 4" xfId="495"/>
    <cellStyle name="_KD - Stock WPs - NTHH_BAO GIA-moi 5" xfId="496"/>
    <cellStyle name="_KD - Stock WPs - NTHH_BAO GIA-moi_Dat kinh so   -17082012-Nha A Trung TGD" xfId="497"/>
    <cellStyle name="_KD - Stock WPs - NTHH_BAO GIA-moi_KINH NHA CO NGA 18-09-12" xfId="498"/>
    <cellStyle name="_KD - Stock WPs - NTHH_BAO GIA-moi_thong ke kinh PHONG mau-sxl1" xfId="499"/>
    <cellStyle name="_KD - Stock WPs - NTHH_BAO GIA-moi_thong ke kinh Tang mau-sxl1" xfId="500"/>
    <cellStyle name="_KD - Stock WPs - NTHH_CSMH 1C" xfId="501"/>
    <cellStyle name="_KD - Stock WPs - NTHH_Sliding door&amp;window SR_SF" xfId="502"/>
    <cellStyle name="_KD - Stock WPs - NTHH_Sliding door&amp;window SR_SF 2" xfId="503"/>
    <cellStyle name="_KD - Stock WPs - NTHH_Sliding door&amp;window SR_SF 3" xfId="504"/>
    <cellStyle name="_KD - Stock WPs - NTHH_Sliding door&amp;window SR_SF 4" xfId="505"/>
    <cellStyle name="_KD - Stock WPs - NTHH_Sliding door&amp;window SR_SF 5" xfId="506"/>
    <cellStyle name="_KD - Stock WPs - NTHH_Sliding door&amp;window SR_SF_Dat kinh so   -17082012-Nha A Trung TGD" xfId="507"/>
    <cellStyle name="_KD - Stock WPs - NTHH_Sliding door&amp;window SR_SF_KINH NHA CO NGA 18-09-12" xfId="508"/>
    <cellStyle name="_KD - Stock WPs - NTHH_Sliding door&amp;window SR_SF_thong ke kinh PHONG mau-sxl1" xfId="509"/>
    <cellStyle name="_KD - Stock WPs - NTHH_Sliding door&amp;window SR_SF_thong ke kinh Tang mau-sxl1" xfId="510"/>
    <cellStyle name="_KT (2)" xfId="511"/>
    <cellStyle name="_KT (2)_1" xfId="512"/>
    <cellStyle name="_KT (2)_1_bao cao ton chi tiet tuan 23-06" xfId="513"/>
    <cellStyle name="_KT (2)_1_Chi_phi_627_theo_thang_08 " xfId="514"/>
    <cellStyle name="_KT (2)_1_Chi_phi_627_theo_thang_08  2" xfId="515"/>
    <cellStyle name="_KT (2)_1_Chi_phi_627_theo_thang_08  3" xfId="516"/>
    <cellStyle name="_KT (2)_1_Chi_phi_627_theo_thang_08  4" xfId="517"/>
    <cellStyle name="_KT (2)_1_Chi_phi_627_theo_thang_08  5" xfId="518"/>
    <cellStyle name="_KT (2)_1_ITA 100 - TAS - H section - Investment - 31.12.07" xfId="519"/>
    <cellStyle name="_KT (2)_1_ITA 100 - TAS - H section - Investment - 31.12.07 2" xfId="520"/>
    <cellStyle name="_KT (2)_1_ITA 100 - TAS - H section - Investment - 31.12.07 3" xfId="521"/>
    <cellStyle name="_KT (2)_1_ITA 100 - TAS - H section - Investment - 31.12.07 4" xfId="522"/>
    <cellStyle name="_KT (2)_1_ITA 100 - TAS - H section - Investment - 31.12.07 5" xfId="523"/>
    <cellStyle name="_KT (2)_1_ITA 100 - TAS - S section - Sales-31.12.07" xfId="524"/>
    <cellStyle name="_KT (2)_1_ITA 100 - TAS - S section - Sales-31.12.07 2" xfId="525"/>
    <cellStyle name="_KT (2)_1_ITA 100 - TAS - S section - Sales-31.12.07 3" xfId="526"/>
    <cellStyle name="_KT (2)_1_ITA 100 - TAS - S section - Sales-31.12.07 4" xfId="527"/>
    <cellStyle name="_KT (2)_1_ITA 100 - TAS - S section - Sales-31.12.07 5" xfId="528"/>
    <cellStyle name="_KT (2)_1_Lora-tungchau" xfId="529"/>
    <cellStyle name="_KT (2)_1_Qt-HT3PQ1(CauKho)" xfId="530"/>
    <cellStyle name="_KT (2)_2" xfId="531"/>
    <cellStyle name="_KT (2)_2_TG-TH" xfId="532"/>
    <cellStyle name="_KT (2)_2_TG-TH_BAO CAO KLCT PT2000" xfId="533"/>
    <cellStyle name="_KT (2)_2_TG-TH_BAO CAO PT2000" xfId="534"/>
    <cellStyle name="_KT (2)_2_TG-TH_BAO CAO PT2000_Book1" xfId="535"/>
    <cellStyle name="_KT (2)_2_TG-TH_Bao cao XDCB 2001 - T11 KH dieu chinh 20-11-THAI" xfId="536"/>
    <cellStyle name="_KT (2)_2_TG-TH_Book1" xfId="537"/>
    <cellStyle name="_KT (2)_2_TG-TH_Book1_1" xfId="538"/>
    <cellStyle name="_KT (2)_2_TG-TH_Book1_2" xfId="539"/>
    <cellStyle name="_KT (2)_2_TG-TH_Book1_3" xfId="540"/>
    <cellStyle name="_KT (2)_2_TG-TH_Book1_4" xfId="541"/>
    <cellStyle name="_KT (2)_2_TG-TH_Chi_phi_627_theo_thang_08 " xfId="542"/>
    <cellStyle name="_KT (2)_2_TG-TH_DTCDT MR.2N110.HOCMON.TDTOAN.CCUNG" xfId="543"/>
    <cellStyle name="_KT (2)_2_TG-TH_ITA 100 - TAS - H section - Investment - 31.12.07" xfId="544"/>
    <cellStyle name="_KT (2)_2_TG-TH_ITA 100 - TAS - S section - Sales-31.12.07" xfId="545"/>
    <cellStyle name="_KT (2)_2_TG-TH_Lora-tungchau" xfId="546"/>
    <cellStyle name="_KT (2)_2_TG-TH_PGIA-phieu tham tra Kho bac" xfId="547"/>
    <cellStyle name="_KT (2)_2_TG-TH_PT02-02" xfId="548"/>
    <cellStyle name="_KT (2)_2_TG-TH_PT02-02_Book1" xfId="549"/>
    <cellStyle name="_KT (2)_2_TG-TH_PT02-03" xfId="550"/>
    <cellStyle name="_KT (2)_2_TG-TH_PT02-03_Book1" xfId="551"/>
    <cellStyle name="_KT (2)_2_TG-TH_Qt-HT3PQ1(CauKho)" xfId="552"/>
    <cellStyle name="_KT (2)_3" xfId="553"/>
    <cellStyle name="_KT (2)_3_TG-TH" xfId="554"/>
    <cellStyle name="_KT (2)_3_TG-TH_Book1" xfId="555"/>
    <cellStyle name="_KT (2)_3_TG-TH_Book1_1" xfId="556"/>
    <cellStyle name="_KT (2)_3_TG-TH_Book1_BC-QT-WB-dthao" xfId="557"/>
    <cellStyle name="_KT (2)_3_TG-TH_ITA 100 - TAS - H section - Investment - 31.12.07" xfId="558"/>
    <cellStyle name="_KT (2)_3_TG-TH_ITA 100 - TAS - S section - Sales-31.12.07" xfId="559"/>
    <cellStyle name="_KT (2)_3_TG-TH_Lora-tungchau" xfId="560"/>
    <cellStyle name="_KT (2)_3_TG-TH_PERSONAL" xfId="561"/>
    <cellStyle name="_KT (2)_3_TG-TH_PERSONAL_HTQ.8 GD1" xfId="562"/>
    <cellStyle name="_KT (2)_3_TG-TH_PERSONAL_Tong hop KHCB 2001" xfId="563"/>
    <cellStyle name="_KT (2)_3_TG-TH_Qt-HT3PQ1(CauKho)" xfId="564"/>
    <cellStyle name="_KT (2)_4" xfId="565"/>
    <cellStyle name="_KT (2)_4_BAO CAO KLCT PT2000" xfId="566"/>
    <cellStyle name="_KT (2)_4_BAO CAO PT2000" xfId="567"/>
    <cellStyle name="_KT (2)_4_BAO CAO PT2000_Book1" xfId="568"/>
    <cellStyle name="_KT (2)_4_Bao cao XDCB 2001 - T11 KH dieu chinh 20-11-THAI" xfId="569"/>
    <cellStyle name="_KT (2)_4_Book1" xfId="570"/>
    <cellStyle name="_KT (2)_4_Book1_1" xfId="571"/>
    <cellStyle name="_KT (2)_4_Book1_2" xfId="572"/>
    <cellStyle name="_KT (2)_4_Book1_3" xfId="573"/>
    <cellStyle name="_KT (2)_4_Book1_4" xfId="574"/>
    <cellStyle name="_KT (2)_4_Chi_phi_627_theo_thang_08 " xfId="575"/>
    <cellStyle name="_KT (2)_4_DTCDT MR.2N110.HOCMON.TDTOAN.CCUNG" xfId="576"/>
    <cellStyle name="_KT (2)_4_ITA 100 - TAS - H section - Investment - 31.12.07" xfId="577"/>
    <cellStyle name="_KT (2)_4_ITA 100 - TAS - S section - Sales-31.12.07" xfId="578"/>
    <cellStyle name="_KT (2)_4_Lora-tungchau" xfId="579"/>
    <cellStyle name="_KT (2)_4_PGIA-phieu tham tra Kho bac" xfId="580"/>
    <cellStyle name="_KT (2)_4_PT02-02" xfId="581"/>
    <cellStyle name="_KT (2)_4_PT02-02_Book1" xfId="582"/>
    <cellStyle name="_KT (2)_4_PT02-03" xfId="583"/>
    <cellStyle name="_KT (2)_4_PT02-03_Book1" xfId="584"/>
    <cellStyle name="_KT (2)_4_Qt-HT3PQ1(CauKho)" xfId="585"/>
    <cellStyle name="_KT (2)_4_TG-TH" xfId="586"/>
    <cellStyle name="_KT (2)_5" xfId="587"/>
    <cellStyle name="_KT (2)_5_BAO CAO KLCT PT2000" xfId="588"/>
    <cellStyle name="_KT (2)_5_BAO CAO PT2000" xfId="589"/>
    <cellStyle name="_KT (2)_5_BAO CAO PT2000_Book1" xfId="590"/>
    <cellStyle name="_KT (2)_5_Bao cao XDCB 2001 - T11 KH dieu chinh 20-11-THAI" xfId="591"/>
    <cellStyle name="_KT (2)_5_Book1" xfId="592"/>
    <cellStyle name="_KT (2)_5_Book1_1" xfId="593"/>
    <cellStyle name="_KT (2)_5_Book1_2" xfId="594"/>
    <cellStyle name="_KT (2)_5_Book1_3" xfId="595"/>
    <cellStyle name="_KT (2)_5_Book1_4" xfId="596"/>
    <cellStyle name="_KT (2)_5_Book1_BC-QT-WB-dthao" xfId="597"/>
    <cellStyle name="_KT (2)_5_Chi_phi_627_theo_thang_08 " xfId="598"/>
    <cellStyle name="_KT (2)_5_DTCDT MR.2N110.HOCMON.TDTOAN.CCUNG" xfId="599"/>
    <cellStyle name="_KT (2)_5_ITA 100 - TAS - H section - Investment - 31.12.07" xfId="600"/>
    <cellStyle name="_KT (2)_5_ITA 100 - TAS - S section - Sales-31.12.07" xfId="601"/>
    <cellStyle name="_KT (2)_5_Lora-tungchau" xfId="602"/>
    <cellStyle name="_KT (2)_5_PGIA-phieu tham tra Kho bac" xfId="603"/>
    <cellStyle name="_KT (2)_5_PT02-02" xfId="604"/>
    <cellStyle name="_KT (2)_5_PT02-02_Book1" xfId="605"/>
    <cellStyle name="_KT (2)_5_PT02-03" xfId="606"/>
    <cellStyle name="_KT (2)_5_PT02-03_Book1" xfId="607"/>
    <cellStyle name="_KT (2)_5_Qt-HT3PQ1(CauKho)" xfId="608"/>
    <cellStyle name="_KT (2)_Book1" xfId="609"/>
    <cellStyle name="_KT (2)_Book1_1" xfId="610"/>
    <cellStyle name="_KT (2)_Book1_BC-QT-WB-dthao" xfId="611"/>
    <cellStyle name="_KT (2)_ITA 100 - TAS - H section - Investment - 31.12.07" xfId="612"/>
    <cellStyle name="_KT (2)_ITA 100 - TAS - S section - Sales-31.12.07" xfId="613"/>
    <cellStyle name="_KT (2)_Lora-tungchau" xfId="614"/>
    <cellStyle name="_KT (2)_PERSONAL" xfId="615"/>
    <cellStyle name="_KT (2)_PERSONAL_HTQ.8 GD1" xfId="616"/>
    <cellStyle name="_KT (2)_PERSONAL_Tong hop KHCB 2001" xfId="617"/>
    <cellStyle name="_KT (2)_Qt-HT3PQ1(CauKho)" xfId="618"/>
    <cellStyle name="_KT (2)_TG-TH" xfId="619"/>
    <cellStyle name="_KT_TG" xfId="620"/>
    <cellStyle name="_KT_TG_1" xfId="621"/>
    <cellStyle name="_KT_TG_1_BAO CAO KLCT PT2000" xfId="622"/>
    <cellStyle name="_KT_TG_1_BAO CAO PT2000" xfId="623"/>
    <cellStyle name="_KT_TG_1_BAO CAO PT2000_Book1" xfId="624"/>
    <cellStyle name="_KT_TG_1_Bao cao XDCB 2001 - T11 KH dieu chinh 20-11-THAI" xfId="625"/>
    <cellStyle name="_KT_TG_1_Book1" xfId="626"/>
    <cellStyle name="_KT_TG_1_Book1_1" xfId="627"/>
    <cellStyle name="_KT_TG_1_Book1_2" xfId="628"/>
    <cellStyle name="_KT_TG_1_Book1_3" xfId="629"/>
    <cellStyle name="_KT_TG_1_Book1_4" xfId="630"/>
    <cellStyle name="_KT_TG_1_Book1_BC-QT-WB-dthao" xfId="631"/>
    <cellStyle name="_KT_TG_1_Chi_phi_627_theo_thang_08 " xfId="632"/>
    <cellStyle name="_KT_TG_1_DTCDT MR.2N110.HOCMON.TDTOAN.CCUNG" xfId="633"/>
    <cellStyle name="_KT_TG_1_ITA 100 - TAS - H section - Investment - 31.12.07" xfId="634"/>
    <cellStyle name="_KT_TG_1_ITA 100 - TAS - S section - Sales-31.12.07" xfId="635"/>
    <cellStyle name="_KT_TG_1_Lora-tungchau" xfId="636"/>
    <cellStyle name="_KT_TG_1_PGIA-phieu tham tra Kho bac" xfId="637"/>
    <cellStyle name="_KT_TG_1_PT02-02" xfId="638"/>
    <cellStyle name="_KT_TG_1_PT02-02_Book1" xfId="639"/>
    <cellStyle name="_KT_TG_1_PT02-03" xfId="640"/>
    <cellStyle name="_KT_TG_1_PT02-03_Book1" xfId="641"/>
    <cellStyle name="_KT_TG_1_Qt-HT3PQ1(CauKho)" xfId="642"/>
    <cellStyle name="_KT_TG_2" xfId="643"/>
    <cellStyle name="_KT_TG_2_BAO CAO KLCT PT2000" xfId="644"/>
    <cellStyle name="_KT_TG_2_BAO CAO PT2000" xfId="645"/>
    <cellStyle name="_KT_TG_2_BAO CAO PT2000_Book1" xfId="646"/>
    <cellStyle name="_KT_TG_2_Bao cao XDCB 2001 - T11 KH dieu chinh 20-11-THAI" xfId="647"/>
    <cellStyle name="_KT_TG_2_Book1" xfId="648"/>
    <cellStyle name="_KT_TG_2_Book1_1" xfId="649"/>
    <cellStyle name="_KT_TG_2_Book1_2" xfId="650"/>
    <cellStyle name="_KT_TG_2_Book1_3" xfId="651"/>
    <cellStyle name="_KT_TG_2_Book1_4" xfId="652"/>
    <cellStyle name="_KT_TG_2_Chi_phi_627_theo_thang_08 " xfId="653"/>
    <cellStyle name="_KT_TG_2_DTCDT MR.2N110.HOCMON.TDTOAN.CCUNG" xfId="654"/>
    <cellStyle name="_KT_TG_2_ITA 100 - TAS - H section - Investment - 31.12.07" xfId="655"/>
    <cellStyle name="_KT_TG_2_ITA 100 - TAS - S section - Sales-31.12.07" xfId="656"/>
    <cellStyle name="_KT_TG_2_Lora-tungchau" xfId="657"/>
    <cellStyle name="_KT_TG_2_PGIA-phieu tham tra Kho bac" xfId="658"/>
    <cellStyle name="_KT_TG_2_PT02-02" xfId="659"/>
    <cellStyle name="_KT_TG_2_PT02-02_Book1" xfId="660"/>
    <cellStyle name="_KT_TG_2_PT02-03" xfId="661"/>
    <cellStyle name="_KT_TG_2_PT02-03_Book1" xfId="662"/>
    <cellStyle name="_KT_TG_2_Qt-HT3PQ1(CauKho)" xfId="663"/>
    <cellStyle name="_KT_TG_3" xfId="664"/>
    <cellStyle name="_KT_TG_4" xfId="665"/>
    <cellStyle name="_KT_TG_4_bao cao ton chi tiet tuan 23-06" xfId="666"/>
    <cellStyle name="_KT_TG_4_Chi_phi_627_theo_thang_08 " xfId="667"/>
    <cellStyle name="_KT_TG_4_Chi_phi_627_theo_thang_08  2" xfId="668"/>
    <cellStyle name="_KT_TG_4_Chi_phi_627_theo_thang_08  3" xfId="669"/>
    <cellStyle name="_KT_TG_4_Chi_phi_627_theo_thang_08  4" xfId="670"/>
    <cellStyle name="_KT_TG_4_Chi_phi_627_theo_thang_08  5" xfId="671"/>
    <cellStyle name="_KT_TG_4_ITA 100 - TAS - H section - Investment - 31.12.07" xfId="672"/>
    <cellStyle name="_KT_TG_4_ITA 100 - TAS - H section - Investment - 31.12.07 2" xfId="673"/>
    <cellStyle name="_KT_TG_4_ITA 100 - TAS - H section - Investment - 31.12.07 3" xfId="674"/>
    <cellStyle name="_KT_TG_4_ITA 100 - TAS - H section - Investment - 31.12.07 4" xfId="675"/>
    <cellStyle name="_KT_TG_4_ITA 100 - TAS - H section - Investment - 31.12.07 5" xfId="676"/>
    <cellStyle name="_KT_TG_4_ITA 100 - TAS - S section - Sales-31.12.07" xfId="677"/>
    <cellStyle name="_KT_TG_4_ITA 100 - TAS - S section - Sales-31.12.07 2" xfId="678"/>
    <cellStyle name="_KT_TG_4_ITA 100 - TAS - S section - Sales-31.12.07 3" xfId="679"/>
    <cellStyle name="_KT_TG_4_ITA 100 - TAS - S section - Sales-31.12.07 4" xfId="680"/>
    <cellStyle name="_KT_TG_4_ITA 100 - TAS - S section - Sales-31.12.07 5" xfId="681"/>
    <cellStyle name="_KT_TG_4_Lora-tungchau" xfId="682"/>
    <cellStyle name="_KT_TG_4_Qt-HT3PQ1(CauKho)" xfId="683"/>
    <cellStyle name="_Long term prepayments" xfId="684"/>
    <cellStyle name="_Long term prepayments_BAO GIA-moi" xfId="685"/>
    <cellStyle name="_Long term prepayments_BAO GIA-moi 2" xfId="686"/>
    <cellStyle name="_Long term prepayments_BAO GIA-moi 3" xfId="687"/>
    <cellStyle name="_Long term prepayments_BAO GIA-moi 4" xfId="688"/>
    <cellStyle name="_Long term prepayments_BAO GIA-moi 5" xfId="689"/>
    <cellStyle name="_Long term prepayments_BAO GIA-moi_Dat kinh so   -17082012-Nha A Trung TGD" xfId="690"/>
    <cellStyle name="_Long term prepayments_BAO GIA-moi_KINH NHA CO NGA 18-09-12" xfId="691"/>
    <cellStyle name="_Long term prepayments_BAO GIA-moi_thong ke kinh PHONG mau-sxl1" xfId="692"/>
    <cellStyle name="_Long term prepayments_BAO GIA-moi_thong ke kinh Tang mau-sxl1" xfId="693"/>
    <cellStyle name="_Long term prepayments_CSMH 1C" xfId="694"/>
    <cellStyle name="_Long term prepayments_Sliding door&amp;window SR_SF" xfId="695"/>
    <cellStyle name="_Long term prepayments_Sliding door&amp;window SR_SF 2" xfId="696"/>
    <cellStyle name="_Long term prepayments_Sliding door&amp;window SR_SF 3" xfId="697"/>
    <cellStyle name="_Long term prepayments_Sliding door&amp;window SR_SF 4" xfId="698"/>
    <cellStyle name="_Long term prepayments_Sliding door&amp;window SR_SF 5" xfId="699"/>
    <cellStyle name="_Long term prepayments_Sliding door&amp;window SR_SF_Dat kinh so   -17082012-Nha A Trung TGD" xfId="700"/>
    <cellStyle name="_Long term prepayments_Sliding door&amp;window SR_SF_KINH NHA CO NGA 18-09-12" xfId="701"/>
    <cellStyle name="_Long term prepayments_Sliding door&amp;window SR_SF_thong ke kinh PHONG mau-sxl1" xfId="702"/>
    <cellStyle name="_Long term prepayments_Sliding door&amp;window SR_SF_thong ke kinh Tang mau-sxl1" xfId="703"/>
    <cellStyle name="_Lora-tungchau" xfId="704"/>
    <cellStyle name="_Malaya_F section 300906.final " xfId="705"/>
    <cellStyle name="_Malaya_F section 300906.final _BAO GIA-moi" xfId="706"/>
    <cellStyle name="_Malaya_F section 300906.final _BAO GIA-moi 2" xfId="707"/>
    <cellStyle name="_Malaya_F section 300906.final _BAO GIA-moi 3" xfId="708"/>
    <cellStyle name="_Malaya_F section 300906.final _BAO GIA-moi 4" xfId="709"/>
    <cellStyle name="_Malaya_F section 300906.final _BAO GIA-moi 5" xfId="710"/>
    <cellStyle name="_Malaya_F section 300906.final _BAO GIA-moi_Dat kinh so   -17082012-Nha A Trung TGD" xfId="711"/>
    <cellStyle name="_Malaya_F section 300906.final _BAO GIA-moi_KINH NHA CO NGA 18-09-12" xfId="712"/>
    <cellStyle name="_Malaya_F section 300906.final _BAO GIA-moi_thong ke kinh PHONG mau-sxl1" xfId="713"/>
    <cellStyle name="_Malaya_F section 300906.final _BAO GIA-moi_thong ke kinh Tang mau-sxl1" xfId="714"/>
    <cellStyle name="_Malaya_F section 300906.final _CSMH 1C" xfId="715"/>
    <cellStyle name="_Malaya_F section 300906.final _Sliding door&amp;window SR_SF" xfId="716"/>
    <cellStyle name="_Malaya_F section 300906.final _Sliding door&amp;window SR_SF 2" xfId="717"/>
    <cellStyle name="_Malaya_F section 300906.final _Sliding door&amp;window SR_SF 3" xfId="718"/>
    <cellStyle name="_Malaya_F section 300906.final _Sliding door&amp;window SR_SF 4" xfId="719"/>
    <cellStyle name="_Malaya_F section 300906.final _Sliding door&amp;window SR_SF 5" xfId="720"/>
    <cellStyle name="_Malaya_F section 300906.final _Sliding door&amp;window SR_SF_Dat kinh so   -17082012-Nha A Trung TGD" xfId="721"/>
    <cellStyle name="_Malaya_F section 300906.final _Sliding door&amp;window SR_SF_KINH NHA CO NGA 18-09-12" xfId="722"/>
    <cellStyle name="_Malaya_F section 300906.final _Sliding door&amp;window SR_SF_thong ke kinh PHONG mau-sxl1" xfId="723"/>
    <cellStyle name="_Malaya_F section 300906.final _Sliding door&amp;window SR_SF_thong ke kinh Tang mau-sxl1" xfId="724"/>
    <cellStyle name="_mo hat" xfId="725"/>
    <cellStyle name="_mo hat_BAO GIA-moi" xfId="726"/>
    <cellStyle name="_mo hat_BAO GIA-moi 2" xfId="727"/>
    <cellStyle name="_mo hat_BAO GIA-moi 3" xfId="728"/>
    <cellStyle name="_mo hat_BAO GIA-moi 4" xfId="729"/>
    <cellStyle name="_mo hat_BAO GIA-moi 5" xfId="730"/>
    <cellStyle name="_mo hat_BAO GIA-moi_Dat kinh so   -17082012-Nha A Trung TGD" xfId="731"/>
    <cellStyle name="_mo hat_BAO GIA-moi_KINH NHA CO NGA 18-09-12" xfId="732"/>
    <cellStyle name="_mo hat_BAO GIA-moi_thong ke kinh PHONG mau-sxl1" xfId="733"/>
    <cellStyle name="_mo hat_BAO GIA-moi_thong ke kinh Tang mau-sxl1" xfId="734"/>
    <cellStyle name="_mo hat_CSMH 1C" xfId="735"/>
    <cellStyle name="_mo hat_Sliding door&amp;window SR_SF" xfId="736"/>
    <cellStyle name="_mo hat_Sliding door&amp;window SR_SF 2" xfId="737"/>
    <cellStyle name="_mo hat_Sliding door&amp;window SR_SF 3" xfId="738"/>
    <cellStyle name="_mo hat_Sliding door&amp;window SR_SF 4" xfId="739"/>
    <cellStyle name="_mo hat_Sliding door&amp;window SR_SF 5" xfId="740"/>
    <cellStyle name="_mo hat_Sliding door&amp;window SR_SF_Dat kinh so   -17082012-Nha A Trung TGD" xfId="741"/>
    <cellStyle name="_mo hat_Sliding door&amp;window SR_SF_KINH NHA CO NGA 18-09-12" xfId="742"/>
    <cellStyle name="_mo hat_Sliding door&amp;window SR_SF_thong ke kinh PHONG mau-sxl1" xfId="743"/>
    <cellStyle name="_mo hat_Sliding door&amp;window SR_SF_thong ke kinh Tang mau-sxl1" xfId="744"/>
    <cellStyle name="_mo quay, lat" xfId="745"/>
    <cellStyle name="_mo quay, lat_BAO GIA-moi" xfId="746"/>
    <cellStyle name="_mo quay, lat_BAO GIA-moi 2" xfId="747"/>
    <cellStyle name="_mo quay, lat_BAO GIA-moi 3" xfId="748"/>
    <cellStyle name="_mo quay, lat_BAO GIA-moi 4" xfId="749"/>
    <cellStyle name="_mo quay, lat_BAO GIA-moi 5" xfId="750"/>
    <cellStyle name="_mo quay, lat_BAO GIA-moi_Dat kinh so   -17082012-Nha A Trung TGD" xfId="751"/>
    <cellStyle name="_mo quay, lat_BAO GIA-moi_KINH NHA CO NGA 18-09-12" xfId="752"/>
    <cellStyle name="_mo quay, lat_BAO GIA-moi_thong ke kinh PHONG mau-sxl1" xfId="753"/>
    <cellStyle name="_mo quay, lat_BAO GIA-moi_thong ke kinh Tang mau-sxl1" xfId="754"/>
    <cellStyle name="_mo quay, lat_CSMH 1C" xfId="755"/>
    <cellStyle name="_mo quay, lat_Sliding door&amp;window SR_SF" xfId="756"/>
    <cellStyle name="_mo quay, lat_Sliding door&amp;window SR_SF 2" xfId="757"/>
    <cellStyle name="_mo quay, lat_Sliding door&amp;window SR_SF 3" xfId="758"/>
    <cellStyle name="_mo quay, lat_Sliding door&amp;window SR_SF 4" xfId="759"/>
    <cellStyle name="_mo quay, lat_Sliding door&amp;window SR_SF 5" xfId="760"/>
    <cellStyle name="_mo quay, lat_Sliding door&amp;window SR_SF_Dat kinh so   -17082012-Nha A Trung TGD" xfId="761"/>
    <cellStyle name="_mo quay, lat_Sliding door&amp;window SR_SF_KINH NHA CO NGA 18-09-12" xfId="762"/>
    <cellStyle name="_mo quay, lat_Sliding door&amp;window SR_SF_thong ke kinh PHONG mau-sxl1" xfId="763"/>
    <cellStyle name="_mo quay, lat_Sliding door&amp;window SR_SF_thong ke kinh Tang mau-sxl1" xfId="764"/>
    <cellStyle name="_MUA NGOAI 2007" xfId="765"/>
    <cellStyle name="_NVL PHỤ ha noi" xfId="766"/>
    <cellStyle name="_NVL PHỤ ha noi 2" xfId="767"/>
    <cellStyle name="_NVL PHỤ ha noi 3" xfId="768"/>
    <cellStyle name="_NVL PHỤ ha noi 4" xfId="769"/>
    <cellStyle name="_NVL PHỤ ha noi 5" xfId="770"/>
    <cellStyle name="_OEM - WTB 31.12.06" xfId="771"/>
    <cellStyle name="_PERSONAL" xfId="772"/>
    <cellStyle name="_PERSONAL_HTQ.8 GD1" xfId="773"/>
    <cellStyle name="_PERSONAL_Tong hop KHCB 2001" xfId="774"/>
    <cellStyle name="_Purchasing 2006 YTD" xfId="775"/>
    <cellStyle name="_Purchasing 2006 YTD_BAO GIA-moi" xfId="776"/>
    <cellStyle name="_Purchasing 2006 YTD_BAO GIA-moi 2" xfId="777"/>
    <cellStyle name="_Purchasing 2006 YTD_BAO GIA-moi 3" xfId="778"/>
    <cellStyle name="_Purchasing 2006 YTD_BAO GIA-moi 4" xfId="779"/>
    <cellStyle name="_Purchasing 2006 YTD_BAO GIA-moi 5" xfId="780"/>
    <cellStyle name="_Purchasing 2006 YTD_BAO GIA-moi_Dat kinh so   -17082012-Nha A Trung TGD" xfId="781"/>
    <cellStyle name="_Purchasing 2006 YTD_BAO GIA-moi_KINH NHA CO NGA 18-09-12" xfId="782"/>
    <cellStyle name="_Purchasing 2006 YTD_BAO GIA-moi_thong ke kinh PHONG mau-sxl1" xfId="783"/>
    <cellStyle name="_Purchasing 2006 YTD_BAO GIA-moi_thong ke kinh Tang mau-sxl1" xfId="784"/>
    <cellStyle name="_Purchasing 2006 YTD_CSMH 1C" xfId="785"/>
    <cellStyle name="_Purchasing 2006 YTD_Sliding door&amp;window SR_SF" xfId="786"/>
    <cellStyle name="_Purchasing 2006 YTD_Sliding door&amp;window SR_SF 2" xfId="787"/>
    <cellStyle name="_Purchasing 2006 YTD_Sliding door&amp;window SR_SF 3" xfId="788"/>
    <cellStyle name="_Purchasing 2006 YTD_Sliding door&amp;window SR_SF 4" xfId="789"/>
    <cellStyle name="_Purchasing 2006 YTD_Sliding door&amp;window SR_SF 5" xfId="790"/>
    <cellStyle name="_Purchasing 2006 YTD_Sliding door&amp;window SR_SF_Dat kinh so   -17082012-Nha A Trung TGD" xfId="791"/>
    <cellStyle name="_Purchasing 2006 YTD_Sliding door&amp;window SR_SF_KINH NHA CO NGA 18-09-12" xfId="792"/>
    <cellStyle name="_Purchasing 2006 YTD_Sliding door&amp;window SR_SF_thong ke kinh PHONG mau-sxl1" xfId="793"/>
    <cellStyle name="_Purchasing 2006 YTD_Sliding door&amp;window SR_SF_thong ke kinh Tang mau-sxl1" xfId="794"/>
    <cellStyle name="_Qt-HT3PQ1(CauKho)" xfId="795"/>
    <cellStyle name="_QUYET TOAN THUE TNCN NGUOI LAO DONG NAM 2006" xfId="796"/>
    <cellStyle name="_RCL - WTB 31.12.06 - v3" xfId="797"/>
    <cellStyle name="_RCL - WTB 31.12.06 - v3_BAO GIA-moi" xfId="798"/>
    <cellStyle name="_RCL - WTB 31.12.06 - v3_Casement door" xfId="799"/>
    <cellStyle name="_RCL - WTB 31.12.06 - v3_Casement window" xfId="800"/>
    <cellStyle name="_RCL - WTB 31.12.06 - v3_Sliding door&amp;window SR_SF" xfId="801"/>
    <cellStyle name="_RM FG INV 2006" xfId="802"/>
    <cellStyle name="_RM FG INV 2006_BAO GIA-moi" xfId="803"/>
    <cellStyle name="_RM FG INV 2006_BAO GIA-moi 2" xfId="804"/>
    <cellStyle name="_RM FG INV 2006_BAO GIA-moi 3" xfId="805"/>
    <cellStyle name="_RM FG INV 2006_BAO GIA-moi 4" xfId="806"/>
    <cellStyle name="_RM FG INV 2006_BAO GIA-moi 5" xfId="807"/>
    <cellStyle name="_RM FG INV 2006_BAO GIA-moi_Dat kinh so   -17082012-Nha A Trung TGD" xfId="808"/>
    <cellStyle name="_RM FG INV 2006_BAO GIA-moi_KINH NHA CO NGA 18-09-12" xfId="809"/>
    <cellStyle name="_RM FG INV 2006_BAO GIA-moi_thong ke kinh PHONG mau-sxl1" xfId="810"/>
    <cellStyle name="_RM FG INV 2006_BAO GIA-moi_thong ke kinh Tang mau-sxl1" xfId="811"/>
    <cellStyle name="_RM FG INV 2006_CSMH 1C" xfId="812"/>
    <cellStyle name="_RM FG INV 2006_Sliding door&amp;window SR_SF" xfId="813"/>
    <cellStyle name="_RM FG INV 2006_Sliding door&amp;window SR_SF 2" xfId="814"/>
    <cellStyle name="_RM FG INV 2006_Sliding door&amp;window SR_SF 3" xfId="815"/>
    <cellStyle name="_RM FG INV 2006_Sliding door&amp;window SR_SF 4" xfId="816"/>
    <cellStyle name="_RM FG INV 2006_Sliding door&amp;window SR_SF 5" xfId="817"/>
    <cellStyle name="_RM FG INV 2006_Sliding door&amp;window SR_SF_Dat kinh so   -17082012-Nha A Trung TGD" xfId="818"/>
    <cellStyle name="_RM FG INV 2006_Sliding door&amp;window SR_SF_KINH NHA CO NGA 18-09-12" xfId="819"/>
    <cellStyle name="_RM FG INV 2006_Sliding door&amp;window SR_SF_thong ke kinh PHONG mau-sxl1" xfId="820"/>
    <cellStyle name="_RM FG INV 2006_Sliding door&amp;window SR_SF_thong ke kinh Tang mau-sxl1" xfId="821"/>
    <cellStyle name="_Royal Cargo - Section O - NTHH" xfId="822"/>
    <cellStyle name="_Sales &amp; COGs - 2005" xfId="823"/>
    <cellStyle name="_san luong" xfId="824"/>
    <cellStyle name="_san luong 2" xfId="825"/>
    <cellStyle name="_san luong 3" xfId="826"/>
    <cellStyle name="_san luong 4" xfId="827"/>
    <cellStyle name="_san luong 5" xfId="828"/>
    <cellStyle name="_Sheet1_Chi_phi_627_theo_thang_08 " xfId="829"/>
    <cellStyle name="_Sheet4" xfId="830"/>
    <cellStyle name="_Stock" xfId="831"/>
    <cellStyle name="_Stock_BAO GIA-moi" xfId="832"/>
    <cellStyle name="_Stock_BAO GIA-moi 2" xfId="833"/>
    <cellStyle name="_Stock_BAO GIA-moi 3" xfId="834"/>
    <cellStyle name="_Stock_BAO GIA-moi 4" xfId="835"/>
    <cellStyle name="_Stock_BAO GIA-moi 5" xfId="836"/>
    <cellStyle name="_Stock_BAO GIA-moi_Dat kinh so   -17082012-Nha A Trung TGD" xfId="837"/>
    <cellStyle name="_Stock_BAO GIA-moi_KINH NHA CO NGA 18-09-12" xfId="838"/>
    <cellStyle name="_Stock_BAO GIA-moi_thong ke kinh PHONG mau-sxl1" xfId="839"/>
    <cellStyle name="_Stock_BAO GIA-moi_thong ke kinh Tang mau-sxl1" xfId="840"/>
    <cellStyle name="_Stock_CSMH 1C" xfId="841"/>
    <cellStyle name="_Stock_Sliding door&amp;window SR_SF" xfId="842"/>
    <cellStyle name="_Stock_Sliding door&amp;window SR_SF 2" xfId="843"/>
    <cellStyle name="_Stock_Sliding door&amp;window SR_SF 3" xfId="844"/>
    <cellStyle name="_Stock_Sliding door&amp;window SR_SF 4" xfId="845"/>
    <cellStyle name="_Stock_Sliding door&amp;window SR_SF 5" xfId="846"/>
    <cellStyle name="_Stock_Sliding door&amp;window SR_SF_Dat kinh so   -17082012-Nha A Trung TGD" xfId="847"/>
    <cellStyle name="_Stock_Sliding door&amp;window SR_SF_KINH NHA CO NGA 18-09-12" xfId="848"/>
    <cellStyle name="_Stock_Sliding door&amp;window SR_SF_thong ke kinh PHONG mau-sxl1" xfId="849"/>
    <cellStyle name="_Stock_Sliding door&amp;window SR_SF_thong ke kinh Tang mau-sxl1" xfId="850"/>
    <cellStyle name="_Stocks-HNKV 31.12.06" xfId="851"/>
    <cellStyle name="_Stocks-HNKV 31.12.06_BAO GIA-moi" xfId="852"/>
    <cellStyle name="_Stocks-HNKV 31.12.06_BAO GIA-moi 2" xfId="853"/>
    <cellStyle name="_Stocks-HNKV 31.12.06_BAO GIA-moi 3" xfId="854"/>
    <cellStyle name="_Stocks-HNKV 31.12.06_BAO GIA-moi 4" xfId="855"/>
    <cellStyle name="_Stocks-HNKV 31.12.06_BAO GIA-moi 5" xfId="856"/>
    <cellStyle name="_Stocks-HNKV 31.12.06_BAO GIA-moi_Dat kinh so   -17082012-Nha A Trung TGD" xfId="857"/>
    <cellStyle name="_Stocks-HNKV 31.12.06_BAO GIA-moi_KINH NHA CO NGA 18-09-12" xfId="858"/>
    <cellStyle name="_Stocks-HNKV 31.12.06_BAO GIA-moi_thong ke kinh PHONG mau-sxl1" xfId="859"/>
    <cellStyle name="_Stocks-HNKV 31.12.06_BAO GIA-moi_thong ke kinh Tang mau-sxl1" xfId="860"/>
    <cellStyle name="_Stocks-HNKV 31.12.06_CSMH 1C" xfId="861"/>
    <cellStyle name="_Stocks-HNKV 31.12.06_Sliding door&amp;window SR_SF" xfId="862"/>
    <cellStyle name="_Stocks-HNKV 31.12.06_Sliding door&amp;window SR_SF 2" xfId="863"/>
    <cellStyle name="_Stocks-HNKV 31.12.06_Sliding door&amp;window SR_SF 3" xfId="864"/>
    <cellStyle name="_Stocks-HNKV 31.12.06_Sliding door&amp;window SR_SF 4" xfId="865"/>
    <cellStyle name="_Stocks-HNKV 31.12.06_Sliding door&amp;window SR_SF 5" xfId="866"/>
    <cellStyle name="_Stocks-HNKV 31.12.06_Sliding door&amp;window SR_SF_Dat kinh so   -17082012-Nha A Trung TGD" xfId="867"/>
    <cellStyle name="_Stocks-HNKV 31.12.06_Sliding door&amp;window SR_SF_KINH NHA CO NGA 18-09-12" xfId="868"/>
    <cellStyle name="_Stocks-HNKV 31.12.06_Sliding door&amp;window SR_SF_thong ke kinh PHONG mau-sxl1" xfId="869"/>
    <cellStyle name="_Stocks-HNKV 31.12.06_Sliding door&amp;window SR_SF_thong ke kinh Tang mau-sxl1" xfId="870"/>
    <cellStyle name="_TG-TH" xfId="871"/>
    <cellStyle name="_TG-TH_1" xfId="872"/>
    <cellStyle name="_TG-TH_1_BAO CAO KLCT PT2000" xfId="873"/>
    <cellStyle name="_TG-TH_1_BAO CAO PT2000" xfId="874"/>
    <cellStyle name="_TG-TH_1_BAO CAO PT2000_Book1" xfId="875"/>
    <cellStyle name="_TG-TH_1_Bao cao XDCB 2001 - T11 KH dieu chinh 20-11-THAI" xfId="876"/>
    <cellStyle name="_TG-TH_1_Book1" xfId="877"/>
    <cellStyle name="_TG-TH_1_Book1_1" xfId="878"/>
    <cellStyle name="_TG-TH_1_Book1_2" xfId="879"/>
    <cellStyle name="_TG-TH_1_Book1_3" xfId="880"/>
    <cellStyle name="_TG-TH_1_Book1_4" xfId="881"/>
    <cellStyle name="_TG-TH_1_Book1_BC-QT-WB-dthao" xfId="882"/>
    <cellStyle name="_TG-TH_1_Chi_phi_627_theo_thang_08 " xfId="883"/>
    <cellStyle name="_TG-TH_1_DTCDT MR.2N110.HOCMON.TDTOAN.CCUNG" xfId="884"/>
    <cellStyle name="_TG-TH_1_ITA 100 - TAS - H section - Investment - 31.12.07" xfId="885"/>
    <cellStyle name="_TG-TH_1_ITA 100 - TAS - S section - Sales-31.12.07" xfId="886"/>
    <cellStyle name="_TG-TH_1_Lora-tungchau" xfId="887"/>
    <cellStyle name="_TG-TH_1_PGIA-phieu tham tra Kho bac" xfId="888"/>
    <cellStyle name="_TG-TH_1_PT02-02" xfId="889"/>
    <cellStyle name="_TG-TH_1_PT02-02_Book1" xfId="890"/>
    <cellStyle name="_TG-TH_1_PT02-03" xfId="891"/>
    <cellStyle name="_TG-TH_1_PT02-03_Book1" xfId="892"/>
    <cellStyle name="_TG-TH_1_Qt-HT3PQ1(CauKho)" xfId="893"/>
    <cellStyle name="_TG-TH_2" xfId="894"/>
    <cellStyle name="_TG-TH_2_BAO CAO KLCT PT2000" xfId="895"/>
    <cellStyle name="_TG-TH_2_BAO CAO PT2000" xfId="896"/>
    <cellStyle name="_TG-TH_2_BAO CAO PT2000_Book1" xfId="897"/>
    <cellStyle name="_TG-TH_2_Bao cao XDCB 2001 - T11 KH dieu chinh 20-11-THAI" xfId="898"/>
    <cellStyle name="_TG-TH_2_Book1" xfId="899"/>
    <cellStyle name="_TG-TH_2_Book1_1" xfId="900"/>
    <cellStyle name="_TG-TH_2_Book1_2" xfId="901"/>
    <cellStyle name="_TG-TH_2_Book1_3" xfId="902"/>
    <cellStyle name="_TG-TH_2_Book1_4" xfId="903"/>
    <cellStyle name="_TG-TH_2_Chi_phi_627_theo_thang_08 " xfId="904"/>
    <cellStyle name="_TG-TH_2_DTCDT MR.2N110.HOCMON.TDTOAN.CCUNG" xfId="905"/>
    <cellStyle name="_TG-TH_2_ITA 100 - TAS - H section - Investment - 31.12.07" xfId="906"/>
    <cellStyle name="_TG-TH_2_ITA 100 - TAS - S section - Sales-31.12.07" xfId="907"/>
    <cellStyle name="_TG-TH_2_Lora-tungchau" xfId="908"/>
    <cellStyle name="_TG-TH_2_PGIA-phieu tham tra Kho bac" xfId="909"/>
    <cellStyle name="_TG-TH_2_PT02-02" xfId="910"/>
    <cellStyle name="_TG-TH_2_PT02-02_Book1" xfId="911"/>
    <cellStyle name="_TG-TH_2_PT02-03" xfId="912"/>
    <cellStyle name="_TG-TH_2_PT02-03_Book1" xfId="913"/>
    <cellStyle name="_TG-TH_2_Qt-HT3PQ1(CauKho)" xfId="914"/>
    <cellStyle name="_TG-TH_3" xfId="915"/>
    <cellStyle name="_TG-TH_3_bao cao ton chi tiet tuan 23-06" xfId="916"/>
    <cellStyle name="_TG-TH_3_Chi_phi_627_theo_thang_08 " xfId="917"/>
    <cellStyle name="_TG-TH_3_Chi_phi_627_theo_thang_08  2" xfId="918"/>
    <cellStyle name="_TG-TH_3_Chi_phi_627_theo_thang_08  3" xfId="919"/>
    <cellStyle name="_TG-TH_3_Chi_phi_627_theo_thang_08  4" xfId="920"/>
    <cellStyle name="_TG-TH_3_Chi_phi_627_theo_thang_08  5" xfId="921"/>
    <cellStyle name="_TG-TH_3_ITA 100 - TAS - H section - Investment - 31.12.07" xfId="922"/>
    <cellStyle name="_TG-TH_3_ITA 100 - TAS - H section - Investment - 31.12.07 2" xfId="923"/>
    <cellStyle name="_TG-TH_3_ITA 100 - TAS - H section - Investment - 31.12.07 3" xfId="924"/>
    <cellStyle name="_TG-TH_3_ITA 100 - TAS - H section - Investment - 31.12.07 4" xfId="925"/>
    <cellStyle name="_TG-TH_3_ITA 100 - TAS - H section - Investment - 31.12.07 5" xfId="926"/>
    <cellStyle name="_TG-TH_3_ITA 100 - TAS - S section - Sales-31.12.07" xfId="927"/>
    <cellStyle name="_TG-TH_3_ITA 100 - TAS - S section - Sales-31.12.07 2" xfId="928"/>
    <cellStyle name="_TG-TH_3_ITA 100 - TAS - S section - Sales-31.12.07 3" xfId="929"/>
    <cellStyle name="_TG-TH_3_ITA 100 - TAS - S section - Sales-31.12.07 4" xfId="930"/>
    <cellStyle name="_TG-TH_3_ITA 100 - TAS - S section - Sales-31.12.07 5" xfId="931"/>
    <cellStyle name="_TG-TH_3_Lora-tungchau" xfId="932"/>
    <cellStyle name="_TG-TH_3_Qt-HT3PQ1(CauKho)" xfId="933"/>
    <cellStyle name="_TG-TH_4" xfId="934"/>
    <cellStyle name="_TL Hai Phong - WTB 311206" xfId="935"/>
    <cellStyle name="_tong kho 31.12.06" xfId="936"/>
    <cellStyle name="_WIP_1205" xfId="937"/>
    <cellStyle name="_WP - Thuy Duong -v2" xfId="938"/>
    <cellStyle name="_WP - Thuy Duong -v2_BAO GIA-moi" xfId="939"/>
    <cellStyle name="_WP - Thuy Duong -v2_BAO GIA-moi 2" xfId="940"/>
    <cellStyle name="_WP - Thuy Duong -v2_BAO GIA-moi 3" xfId="941"/>
    <cellStyle name="_WP - Thuy Duong -v2_BAO GIA-moi 4" xfId="942"/>
    <cellStyle name="_WP - Thuy Duong -v2_BAO GIA-moi 5" xfId="943"/>
    <cellStyle name="_WP - Thuy Duong -v2_BAO GIA-moi_Dat kinh so   -17082012-Nha A Trung TGD" xfId="944"/>
    <cellStyle name="_WP - Thuy Duong -v2_BAO GIA-moi_KINH NHA CO NGA 18-09-12" xfId="945"/>
    <cellStyle name="_WP - Thuy Duong -v2_BAO GIA-moi_thong ke kinh PHONG mau-sxl1" xfId="946"/>
    <cellStyle name="_WP - Thuy Duong -v2_BAO GIA-moi_thong ke kinh Tang mau-sxl1" xfId="947"/>
    <cellStyle name="_WP - Thuy Duong -v2_CSMH 1C" xfId="948"/>
    <cellStyle name="_WP - Thuy Duong -v2_Sliding door&amp;window SR_SF" xfId="949"/>
    <cellStyle name="_WP - Thuy Duong -v2_Sliding door&amp;window SR_SF 2" xfId="950"/>
    <cellStyle name="_WP - Thuy Duong -v2_Sliding door&amp;window SR_SF 3" xfId="951"/>
    <cellStyle name="_WP - Thuy Duong -v2_Sliding door&amp;window SR_SF 4" xfId="952"/>
    <cellStyle name="_WP - Thuy Duong -v2_Sliding door&amp;window SR_SF 5" xfId="953"/>
    <cellStyle name="_WP - Thuy Duong -v2_Sliding door&amp;window SR_SF_Dat kinh so   -17082012-Nha A Trung TGD" xfId="954"/>
    <cellStyle name="_WP - Thuy Duong -v2_Sliding door&amp;window SR_SF_KINH NHA CO NGA 18-09-12" xfId="955"/>
    <cellStyle name="_WP - Thuy Duong -v2_Sliding door&amp;window SR_SF_thong ke kinh PHONG mau-sxl1" xfId="956"/>
    <cellStyle name="_WP - Thuy Duong -v2_Sliding door&amp;window SR_SF_thong ke kinh Tang mau-sxl1" xfId="957"/>
    <cellStyle name="_Write off" xfId="958"/>
    <cellStyle name="_Write off_BAO GIA-moi" xfId="959"/>
    <cellStyle name="_Write off_BAO GIA-moi 2" xfId="960"/>
    <cellStyle name="_Write off_BAO GIA-moi 3" xfId="961"/>
    <cellStyle name="_Write off_BAO GIA-moi 4" xfId="962"/>
    <cellStyle name="_Write off_BAO GIA-moi 5" xfId="963"/>
    <cellStyle name="_Write off_BAO GIA-moi_Dat kinh so   -17082012-Nha A Trung TGD" xfId="964"/>
    <cellStyle name="_Write off_BAO GIA-moi_KINH NHA CO NGA 18-09-12" xfId="965"/>
    <cellStyle name="_Write off_BAO GIA-moi_thong ke kinh PHONG mau-sxl1" xfId="966"/>
    <cellStyle name="_Write off_BAO GIA-moi_thong ke kinh Tang mau-sxl1" xfId="967"/>
    <cellStyle name="_Write off_CSMH 1C" xfId="968"/>
    <cellStyle name="_Write off_Sliding door&amp;window SR_SF" xfId="969"/>
    <cellStyle name="_Write off_Sliding door&amp;window SR_SF 2" xfId="970"/>
    <cellStyle name="_Write off_Sliding door&amp;window SR_SF 3" xfId="971"/>
    <cellStyle name="_Write off_Sliding door&amp;window SR_SF 4" xfId="972"/>
    <cellStyle name="_Write off_Sliding door&amp;window SR_SF 5" xfId="973"/>
    <cellStyle name="_Write off_Sliding door&amp;window SR_SF_Dat kinh so   -17082012-Nha A Trung TGD" xfId="974"/>
    <cellStyle name="_Write off_Sliding door&amp;window SR_SF_KINH NHA CO NGA 18-09-12" xfId="975"/>
    <cellStyle name="_Write off_Sliding door&amp;window SR_SF_thong ke kinh PHONG mau-sxl1" xfId="976"/>
    <cellStyle name="_Write off_Sliding door&amp;window SR_SF_thong ke kinh Tang mau-sxl1" xfId="977"/>
    <cellStyle name="_WTB revised 31.12.2002 with TCI adjs-dated 2507-V1" xfId="978"/>
    <cellStyle name="_Xnt_0105" xfId="979"/>
    <cellStyle name="_Xnt_1205" xfId="980"/>
    <cellStyle name="–¢’è‹`" xfId="981"/>
    <cellStyle name="•\Ž¦Ï‚Ý‚ÌƒnƒCƒp[ƒŠƒ“ƒN" xfId="982"/>
    <cellStyle name="•W€_STDFOR" xfId="983"/>
    <cellStyle name="W_RENKETU1" xfId="984"/>
    <cellStyle name="0%" xfId="985"/>
    <cellStyle name="0.0%" xfId="986"/>
    <cellStyle name="0.00%" xfId="987"/>
    <cellStyle name="1" xfId="988"/>
    <cellStyle name="15" xfId="989"/>
    <cellStyle name="18" xfId="990"/>
    <cellStyle name="¹éºÐÀ²_      " xfId="991"/>
    <cellStyle name="2" xfId="992"/>
    <cellStyle name="20% - ส่วนที่ถูกเน้น1" xfId="993"/>
    <cellStyle name="20% - ส่วนที่ถูกเน้น2" xfId="994"/>
    <cellStyle name="20% - ส่วนที่ถูกเน้น3" xfId="995"/>
    <cellStyle name="20% - ส่วนที่ถูกเน้น4" xfId="996"/>
    <cellStyle name="20% - ส่วนที่ถูกเน้น5" xfId="997"/>
    <cellStyle name="20% - ส่วนที่ถูกเน้น6" xfId="998"/>
    <cellStyle name="3" xfId="999"/>
    <cellStyle name="4" xfId="1000"/>
    <cellStyle name="40% - ส่วนที่ถูกเน้น1" xfId="1001"/>
    <cellStyle name="40% - ส่วนที่ถูกเน้น2" xfId="1002"/>
    <cellStyle name="40% - ส่วนที่ถูกเน้น3" xfId="1003"/>
    <cellStyle name="40% - ส่วนที่ถูกเน้น4" xfId="1004"/>
    <cellStyle name="40% - ส่วนที่ถูกเน้น5" xfId="1005"/>
    <cellStyle name="40% - ส่วนที่ถูกเน้น6" xfId="1006"/>
    <cellStyle name="6" xfId="1007"/>
    <cellStyle name="6 2" xfId="1008"/>
    <cellStyle name="6 3" xfId="1009"/>
    <cellStyle name="6 4" xfId="1010"/>
    <cellStyle name="6 5" xfId="1011"/>
    <cellStyle name="6_Casement door" xfId="1012"/>
    <cellStyle name="6_Casement window" xfId="1013"/>
    <cellStyle name="6_CSMH 1C" xfId="1014"/>
    <cellStyle name="6_Dat kinh so   -17082012-Nha A Trung TGD" xfId="1015"/>
    <cellStyle name="6_KINH NHA CO NGA 18-09-12" xfId="1016"/>
    <cellStyle name="6_Sliding door&amp;window SR_SF" xfId="1017"/>
    <cellStyle name="6_Sliding door&amp;window SR_SF 2" xfId="1018"/>
    <cellStyle name="6_Sliding door&amp;window SR_SF 3" xfId="1019"/>
    <cellStyle name="6_Sliding door&amp;window SR_SF 4" xfId="1020"/>
    <cellStyle name="6_Sliding door&amp;window SR_SF 5" xfId="1021"/>
    <cellStyle name="6_Sliding door&amp;window SR_SF_Dat kinh so   -17082012-Nha A Trung TGD" xfId="1022"/>
    <cellStyle name="6_Sliding door&amp;window SR_SF_KINH NHA CO NGA 18-09-12" xfId="1023"/>
    <cellStyle name="6_Sliding door&amp;window SR_SF_thong ke kinh PHONG mau-sxl1" xfId="1024"/>
    <cellStyle name="6_Sliding door&amp;window SR_SF_thong ke kinh Tang mau-sxl1" xfId="1025"/>
    <cellStyle name="6_thong ke kinh PHONG mau-sxl1" xfId="1026"/>
    <cellStyle name="6_thong ke kinh Tang mau-sxl1" xfId="1027"/>
    <cellStyle name="60% - ส่วนที่ถูกเน้น1" xfId="1028"/>
    <cellStyle name="60% - ส่วนที่ถูกเน้น2" xfId="1029"/>
    <cellStyle name="60% - ส่วนที่ถูกเน้น3" xfId="1030"/>
    <cellStyle name="60% - ส่วนที่ถูกเน้น4" xfId="1031"/>
    <cellStyle name="60% - ส่วนที่ถูกเน้น5" xfId="1032"/>
    <cellStyle name="60% - ส่วนที่ถูกเน้น6" xfId="1033"/>
    <cellStyle name="80" xfId="1034"/>
    <cellStyle name="Account" xfId="1035"/>
    <cellStyle name="ÅëÈ­ [0]_      " xfId="1036"/>
    <cellStyle name="AeE­ [0]_INQUIRY ¿?¾÷AßAø " xfId="1037"/>
    <cellStyle name="ÅëÈ­ [0]_S" xfId="1038"/>
    <cellStyle name="ÅëÈ­_      " xfId="1039"/>
    <cellStyle name="AeE­_INQUIRY ¿?¾÷AßAø " xfId="1040"/>
    <cellStyle name="ÅëÈ­_L601CPT" xfId="1041"/>
    <cellStyle name="APPEAR" xfId="1042"/>
    <cellStyle name="arbres" xfId="1043"/>
    <cellStyle name="args.style" xfId="1044"/>
    <cellStyle name="ÄÞ¸¶ [0]_      " xfId="1045"/>
    <cellStyle name="AÞ¸¶ [0]_INQUIRY ¿?¾÷AßAø " xfId="1046"/>
    <cellStyle name="ÄÞ¸¶ [0]_L601CPT" xfId="1047"/>
    <cellStyle name="ÄÞ¸¶_      " xfId="1048"/>
    <cellStyle name="AÞ¸¶_INQUIRY ¿?¾÷AßAø " xfId="1049"/>
    <cellStyle name="ÄÞ¸¶_L601CPT" xfId="1050"/>
    <cellStyle name="AutoFormat Options" xfId="1051"/>
    <cellStyle name="BKWmas" xfId="1052"/>
    <cellStyle name="Body" xfId="1053"/>
    <cellStyle name="C?AØ_¿?¾÷CoE² " xfId="1054"/>
    <cellStyle name="Ç¥ÁØ_      " xfId="1055"/>
    <cellStyle name="C￥AØ_¿μ¾÷CoE² " xfId="1056"/>
    <cellStyle name="Ç¥ÁØ_±¸¹Ì´ëÃ¥" xfId="1057"/>
    <cellStyle name="Calc Currency (0)" xfId="1058"/>
    <cellStyle name="Calc Currency (0) 2" xfId="1059"/>
    <cellStyle name="Calc Currency (0) 3" xfId="1060"/>
    <cellStyle name="Calc Currency (0) 4" xfId="1061"/>
    <cellStyle name="Calc Currency (0) 5" xfId="1062"/>
    <cellStyle name="Calc Currency (2)" xfId="1063"/>
    <cellStyle name="Calc Percent (0)" xfId="1064"/>
    <cellStyle name="Calc Percent (1)" xfId="1065"/>
    <cellStyle name="Calc Percent (2)" xfId="1066"/>
    <cellStyle name="Calc Percent (2) 2" xfId="1067"/>
    <cellStyle name="Calc Percent (2) 3" xfId="1068"/>
    <cellStyle name="Calc Percent (2) 4" xfId="1069"/>
    <cellStyle name="Calc Percent (2) 5" xfId="1070"/>
    <cellStyle name="Calc Units (0)" xfId="1071"/>
    <cellStyle name="Calc Units (1)" xfId="1072"/>
    <cellStyle name="Calc Units (2)" xfId="1073"/>
    <cellStyle name="category" xfId="1074"/>
    <cellStyle name="Cerrency_Sheet2_XANGDAU" xfId="1075"/>
    <cellStyle name="CHUONG" xfId="1076"/>
    <cellStyle name="Col Heads" xfId="1077"/>
    <cellStyle name="Comma" xfId="1914" builtinId="3"/>
    <cellStyle name="Comma  - Style1" xfId="1078"/>
    <cellStyle name="Comma  - Style2" xfId="1079"/>
    <cellStyle name="Comma  - Style3" xfId="1080"/>
    <cellStyle name="Comma  - Style4" xfId="1081"/>
    <cellStyle name="Comma  - Style5" xfId="1082"/>
    <cellStyle name="Comma  - Style6" xfId="1083"/>
    <cellStyle name="Comma  - Style7" xfId="1084"/>
    <cellStyle name="Comma  - Style8" xfId="1085"/>
    <cellStyle name="Comma [ ,]" xfId="1086"/>
    <cellStyle name="Comma []" xfId="1087"/>
    <cellStyle name="Comma [] 2" xfId="1088"/>
    <cellStyle name="Comma [] 3" xfId="1089"/>
    <cellStyle name="Comma [] 4" xfId="1090"/>
    <cellStyle name="Comma [] 5" xfId="1091"/>
    <cellStyle name="Comma [00]" xfId="1092"/>
    <cellStyle name="Comma 2" xfId="1900"/>
    <cellStyle name="Comma 2 2" xfId="1093"/>
    <cellStyle name="Comma 2 3" xfId="1094"/>
    <cellStyle name="Comma 2 4" xfId="1095"/>
    <cellStyle name="Comma 2 5" xfId="1096"/>
    <cellStyle name="Comma 2 6" xfId="1097"/>
    <cellStyle name="Comma 3" xfId="1889"/>
    <cellStyle name="Comma 4" xfId="1905"/>
    <cellStyle name="Comma 5" xfId="1888"/>
    <cellStyle name="Comma 6" xfId="1908"/>
    <cellStyle name="Comma 7" xfId="1098"/>
    <cellStyle name="comma zerodec" xfId="1099"/>
    <cellStyle name="Comma,0" xfId="1100"/>
    <cellStyle name="Comma,1" xfId="1101"/>
    <cellStyle name="Comma,2" xfId="1102"/>
    <cellStyle name="Comma0" xfId="1103"/>
    <cellStyle name="computed cell" xfId="1104"/>
    <cellStyle name="Copied" xfId="1105"/>
    <cellStyle name="COST1" xfId="1106"/>
    <cellStyle name="Currency [00]" xfId="1107"/>
    <cellStyle name="Currency,0" xfId="1108"/>
    <cellStyle name="Currency,2" xfId="1109"/>
    <cellStyle name="Currency0" xfId="1110"/>
    <cellStyle name="Currency1" xfId="1111"/>
    <cellStyle name="Dan" xfId="1112"/>
    <cellStyle name="Date" xfId="1113"/>
    <cellStyle name="Date Short" xfId="1114"/>
    <cellStyle name="Date_Bao Cao Kiem Tra  trung bay Ke milk-yomilk CK 2" xfId="1115"/>
    <cellStyle name="DELTA" xfId="1116"/>
    <cellStyle name="Dezimal [0]_68574_Materialbedarfsliste" xfId="1117"/>
    <cellStyle name="Dezimal_68574_Materialbedarfsliste" xfId="1118"/>
    <cellStyle name="Dollar (zero dec)" xfId="1119"/>
    <cellStyle name="e" xfId="1120"/>
    <cellStyle name="E&amp;Y House" xfId="1121"/>
    <cellStyle name="EN CO.," xfId="1122"/>
    <cellStyle name="Enter Currency (0)" xfId="1123"/>
    <cellStyle name="Enter Currency (2)" xfId="1124"/>
    <cellStyle name="Enter Units (0)" xfId="1125"/>
    <cellStyle name="Enter Units (1)" xfId="1126"/>
    <cellStyle name="Enter Units (2)" xfId="1127"/>
    <cellStyle name="Entered" xfId="1128"/>
    <cellStyle name="Euro" xfId="1129"/>
    <cellStyle name="EYSheetHeader1" xfId="1130"/>
    <cellStyle name="f" xfId="1131"/>
    <cellStyle name="F2" xfId="1132"/>
    <cellStyle name="F3" xfId="1133"/>
    <cellStyle name="F4" xfId="1134"/>
    <cellStyle name="F5" xfId="1135"/>
    <cellStyle name="F6" xfId="1136"/>
    <cellStyle name="F7" xfId="1137"/>
    <cellStyle name="F8" xfId="1138"/>
    <cellStyle name="Fixed" xfId="1139"/>
    <cellStyle name="ƒnƒCƒp[ƒŠƒ“ƒN" xfId="1140"/>
    <cellStyle name="Grey" xfId="1141"/>
    <cellStyle name="ha" xfId="1142"/>
    <cellStyle name="Head 1" xfId="1143"/>
    <cellStyle name="HEADER" xfId="1144"/>
    <cellStyle name="Header1" xfId="1145"/>
    <cellStyle name="Header-1-1" xfId="1146"/>
    <cellStyle name="Header2" xfId="1147"/>
    <cellStyle name="Heading" xfId="1148"/>
    <cellStyle name="Heading1" xfId="1149"/>
    <cellStyle name="Heading2" xfId="1150"/>
    <cellStyle name="HEADINGS" xfId="1151"/>
    <cellStyle name="HEADINGSTOP" xfId="1152"/>
    <cellStyle name="headoption" xfId="1153"/>
    <cellStyle name="hidden" xfId="1154"/>
    <cellStyle name="HIDE" xfId="1155"/>
    <cellStyle name="HMRCalculated" xfId="1156"/>
    <cellStyle name="HMRInput" xfId="1157"/>
    <cellStyle name="Hoa-Scholl" xfId="1158"/>
    <cellStyle name="i·0" xfId="1159"/>
    <cellStyle name="Indent" xfId="1160"/>
    <cellStyle name="Input [yellow]" xfId="1161"/>
    <cellStyle name="Input Cells" xfId="1162"/>
    <cellStyle name="Latest Estimate" xfId="1163"/>
    <cellStyle name="Latest Estimate 2" xfId="1164"/>
    <cellStyle name="Latest Estimate 3" xfId="1165"/>
    <cellStyle name="Latest Estimate 4" xfId="1166"/>
    <cellStyle name="Latest Estimate 5" xfId="1167"/>
    <cellStyle name="Ledger 17 x 11 in" xfId="1168"/>
    <cellStyle name="lien" xfId="1169"/>
    <cellStyle name="Line" xfId="1170"/>
    <cellStyle name="Link Currency (0)" xfId="1171"/>
    <cellStyle name="Link Currency (2)" xfId="1172"/>
    <cellStyle name="Link Units (0)" xfId="1173"/>
    <cellStyle name="Link Units (1)" xfId="1174"/>
    <cellStyle name="Link Units (2)" xfId="1175"/>
    <cellStyle name="Linked Cells" xfId="1176"/>
    <cellStyle name="MARK" xfId="1177"/>
    <cellStyle name="Millares [0]_Well Timing" xfId="1178"/>
    <cellStyle name="Millares_Well Timing" xfId="1179"/>
    <cellStyle name="Milliers [0]_      " xfId="1180"/>
    <cellStyle name="Milliers_      " xfId="1181"/>
    <cellStyle name="Model" xfId="1182"/>
    <cellStyle name="moi" xfId="1183"/>
    <cellStyle name="Mon?aire [0]_      " xfId="1184"/>
    <cellStyle name="Mon?aire_      " xfId="1185"/>
    <cellStyle name="Moneda [0]_Well Timing" xfId="1186"/>
    <cellStyle name="Moneda_Well Timing" xfId="1187"/>
    <cellStyle name="Monétaire [0]_      " xfId="1188"/>
    <cellStyle name="Monétaire_      " xfId="1189"/>
    <cellStyle name="n" xfId="1190"/>
    <cellStyle name="New Times Roman" xfId="1191"/>
    <cellStyle name="no dec" xfId="1192"/>
    <cellStyle name="NoFill" xfId="1193"/>
    <cellStyle name="ÑONVÒ" xfId="1194"/>
    <cellStyle name="Normal" xfId="0" builtinId="0"/>
    <cellStyle name="Normal - Style1" xfId="1195"/>
    <cellStyle name="Normal - 유형1" xfId="1196"/>
    <cellStyle name="Normal 10" xfId="1904"/>
    <cellStyle name="Normal 11" xfId="1910"/>
    <cellStyle name="Normal 12" xfId="1911"/>
    <cellStyle name="Normal 13" xfId="1912"/>
    <cellStyle name="Normal 14" xfId="1913"/>
    <cellStyle name="Normal 2" xfId="1197"/>
    <cellStyle name="Normal 2 2" xfId="1198"/>
    <cellStyle name="Normal 2 2 2" xfId="1893"/>
    <cellStyle name="Normal 2 3" xfId="1199"/>
    <cellStyle name="Normal 2 4" xfId="1200"/>
    <cellStyle name="Normal 2 5" xfId="1201"/>
    <cellStyle name="Normal 2 6" xfId="1202"/>
    <cellStyle name="Normal 3" xfId="1894"/>
    <cellStyle name="Normal 3 2" xfId="1890"/>
    <cellStyle name="Normal 3 3" xfId="1906"/>
    <cellStyle name="Normal 4" xfId="1895"/>
    <cellStyle name="Normal 4 2 2" xfId="1891"/>
    <cellStyle name="Normal 5" xfId="1203"/>
    <cellStyle name="Normal 5 2" xfId="1204"/>
    <cellStyle name="Normal 5 3" xfId="1887"/>
    <cellStyle name="Normal 6" xfId="1899"/>
    <cellStyle name="Normal 7" xfId="1901"/>
    <cellStyle name="Normal 8" xfId="1902"/>
    <cellStyle name="Normal 9" xfId="1903"/>
    <cellStyle name="Normal_Sheet1_1" xfId="1915"/>
    <cellStyle name="Normal1" xfId="1205"/>
    <cellStyle name="Normale_BP" xfId="1206"/>
    <cellStyle name="normální_A" xfId="1207"/>
    <cellStyle name="Œ…‹æ_Ø‚è [0.00]_ÆÂ__" xfId="1208"/>
    <cellStyle name="Œ…‹æØ‚è [0.00]_Cancel list" xfId="1209"/>
    <cellStyle name="Œ…‹æØ‚è_Cancel list" xfId="1210"/>
    <cellStyle name="oft Excel]_x000d__x000a_Comment=open=/f ‚ðw’è‚·‚é‚ÆAƒ†[ƒU[’è‹`ŠÖ”‚ðŠÖ”“\‚è•t‚¯‚Ìˆê——‚É“o˜^‚·‚é‚±‚Æ‚ª‚Å‚«‚Ü‚·B_x000d__x000a_Maximized" xfId="1211"/>
    <cellStyle name="oft Excel]_x000d__x000a_Comment=open=/f ‚ðŽw’è‚·‚é‚ÆAƒ†[ƒU[’è‹`ŠÖ”‚ðŠÖ”“\‚è•t‚¯‚Ìˆê——‚É“o˜^‚·‚é‚±‚Æ‚ª‚Å‚«‚Ü‚·B_x000d__x000a_Maximized" xfId="1212"/>
    <cellStyle name="oft Excel]_x000d__x000a_Comment=The open=/f lines load custom functions into the Paste Function list._x000d__x000a_Maximized=2_x000d__x000a_Basics=1_x000d__x000a_A" xfId="1213"/>
    <cellStyle name="oft Excel]_x000d__x000a_Comment=The open=/f lines load custom functions into the Paste Function list._x000d__x000a_Maximized=3_x000d__x000a_Basics=1_x000d__x000a_A" xfId="1214"/>
    <cellStyle name="omma [0]_Mktg Prog" xfId="1215"/>
    <cellStyle name="ormal_Sheet1_1?_x0001__x0015_Normal_Sheet1_Amer Q4?_x0001__x0012_Normal_Sheet1_FY96?_x0018_Normal_Sheet1_HC " xfId="1216"/>
    <cellStyle name="Package_numbers" xfId="1217"/>
    <cellStyle name="paint" xfId="1218"/>
    <cellStyle name="Pattern" xfId="1219"/>
    <cellStyle name="per.style" xfId="1220"/>
    <cellStyle name="Percent [0]" xfId="1221"/>
    <cellStyle name="Percent [0] 2" xfId="1222"/>
    <cellStyle name="Percent [0] 3" xfId="1223"/>
    <cellStyle name="Percent [0] 4" xfId="1224"/>
    <cellStyle name="Percent [0] 5" xfId="1225"/>
    <cellStyle name="Percent [00]" xfId="1226"/>
    <cellStyle name="Percent [00] 2" xfId="1227"/>
    <cellStyle name="Percent [00] 3" xfId="1228"/>
    <cellStyle name="Percent [00] 4" xfId="1229"/>
    <cellStyle name="Percent [00] 5" xfId="1230"/>
    <cellStyle name="Percent [2]" xfId="1231"/>
    <cellStyle name="Percent [2] 2" xfId="1232"/>
    <cellStyle name="Percent [2] 3" xfId="1233"/>
    <cellStyle name="Percent [2] 4" xfId="1234"/>
    <cellStyle name="Percent [2] 5" xfId="1235"/>
    <cellStyle name="Percent 2" xfId="1236"/>
    <cellStyle name="Percent 3" xfId="1898"/>
    <cellStyle name="PERCENTAGE" xfId="1237"/>
    <cellStyle name="PrePop Currency (0)" xfId="1238"/>
    <cellStyle name="PrePop Currency (2)" xfId="1239"/>
    <cellStyle name="PrePop Units (0)" xfId="1240"/>
    <cellStyle name="PrePop Units (1)" xfId="1241"/>
    <cellStyle name="PrePop Units (2)" xfId="1242"/>
    <cellStyle name="pricing" xfId="1243"/>
    <cellStyle name="Print_header" xfId="1244"/>
    <cellStyle name="PSChar" xfId="1245"/>
    <cellStyle name="PSHeading" xfId="1246"/>
    <cellStyle name="regstoresfromspecstores" xfId="1247"/>
    <cellStyle name="RevList" xfId="1248"/>
    <cellStyle name="RevList 2" xfId="1249"/>
    <cellStyle name="RevList 3" xfId="1250"/>
    <cellStyle name="RevList 4" xfId="1251"/>
    <cellStyle name="RevList 5" xfId="1252"/>
    <cellStyle name="S—_x0008_" xfId="1253"/>
    <cellStyle name="s]_x000d__x000a_spooler=yes_x000d__x000a_load=_x000d__x000a_Beep=yes_x000d__x000a_NullPort=None_x000d__x000a_BorderWidth=3_x000d__x000a_CursorBlinkRate=1200_x000d__x000a_DoubleClickSpeed=452_x000d__x000a_Programs=co" xfId="1254"/>
    <cellStyle name="SAPBEXchaText" xfId="1255"/>
    <cellStyle name="SAPBEXstdData" xfId="1256"/>
    <cellStyle name="SAPBEXstdItem" xfId="1257"/>
    <cellStyle name="SHADEDSTORES" xfId="1258"/>
    <cellStyle name="Spaltenebene_1_主营业务利润明细表" xfId="1259"/>
    <cellStyle name="specstores" xfId="1260"/>
    <cellStyle name="Standard_9. Fixed assets-Additions list" xfId="1261"/>
    <cellStyle name="Style 1" xfId="1262"/>
    <cellStyle name="Style 1 2" xfId="1263"/>
    <cellStyle name="Style 1 3" xfId="1264"/>
    <cellStyle name="Style 1 4" xfId="1265"/>
    <cellStyle name="Style 1 5" xfId="1266"/>
    <cellStyle name="Style 10" xfId="1267"/>
    <cellStyle name="Style 100" xfId="1268"/>
    <cellStyle name="Style 101" xfId="1269"/>
    <cellStyle name="Style 102" xfId="1270"/>
    <cellStyle name="Style 103" xfId="1271"/>
    <cellStyle name="Style 104" xfId="1272"/>
    <cellStyle name="Style 105" xfId="1273"/>
    <cellStyle name="Style 106" xfId="1274"/>
    <cellStyle name="Style 107" xfId="1275"/>
    <cellStyle name="Style 108" xfId="1276"/>
    <cellStyle name="Style 109" xfId="1277"/>
    <cellStyle name="Style 11" xfId="1278"/>
    <cellStyle name="Style 110" xfId="1279"/>
    <cellStyle name="Style 111" xfId="1280"/>
    <cellStyle name="Style 112" xfId="1281"/>
    <cellStyle name="Style 113" xfId="1282"/>
    <cellStyle name="Style 114" xfId="1283"/>
    <cellStyle name="Style 115" xfId="1284"/>
    <cellStyle name="Style 116" xfId="1285"/>
    <cellStyle name="Style 117" xfId="1286"/>
    <cellStyle name="Style 118" xfId="1287"/>
    <cellStyle name="Style 119" xfId="1288"/>
    <cellStyle name="Style 12" xfId="1289"/>
    <cellStyle name="Style 120" xfId="1290"/>
    <cellStyle name="Style 121" xfId="1291"/>
    <cellStyle name="Style 122" xfId="1292"/>
    <cellStyle name="Style 123" xfId="1293"/>
    <cellStyle name="Style 124" xfId="1294"/>
    <cellStyle name="Style 125" xfId="1295"/>
    <cellStyle name="Style 126" xfId="1296"/>
    <cellStyle name="Style 127" xfId="1297"/>
    <cellStyle name="Style 128" xfId="1298"/>
    <cellStyle name="Style 129" xfId="1299"/>
    <cellStyle name="Style 13" xfId="1300"/>
    <cellStyle name="Style 130" xfId="1301"/>
    <cellStyle name="Style 131" xfId="1302"/>
    <cellStyle name="Style 132" xfId="1303"/>
    <cellStyle name="Style 133" xfId="1304"/>
    <cellStyle name="Style 134" xfId="1305"/>
    <cellStyle name="Style 135" xfId="1306"/>
    <cellStyle name="Style 136" xfId="1307"/>
    <cellStyle name="Style 137" xfId="1308"/>
    <cellStyle name="Style 138" xfId="1309"/>
    <cellStyle name="Style 139" xfId="1310"/>
    <cellStyle name="Style 14" xfId="1311"/>
    <cellStyle name="Style 140" xfId="1312"/>
    <cellStyle name="Style 141" xfId="1313"/>
    <cellStyle name="Style 142" xfId="1314"/>
    <cellStyle name="Style 143" xfId="1315"/>
    <cellStyle name="Style 144" xfId="1316"/>
    <cellStyle name="Style 145" xfId="1317"/>
    <cellStyle name="Style 146" xfId="1318"/>
    <cellStyle name="Style 147" xfId="1319"/>
    <cellStyle name="Style 148" xfId="1320"/>
    <cellStyle name="Style 149" xfId="1321"/>
    <cellStyle name="Style 15" xfId="1322"/>
    <cellStyle name="Style 150" xfId="1323"/>
    <cellStyle name="Style 151" xfId="1324"/>
    <cellStyle name="Style 152" xfId="1325"/>
    <cellStyle name="Style 153" xfId="1326"/>
    <cellStyle name="Style 154" xfId="1327"/>
    <cellStyle name="Style 155" xfId="1328"/>
    <cellStyle name="Style 156" xfId="1329"/>
    <cellStyle name="Style 157" xfId="1330"/>
    <cellStyle name="Style 158" xfId="1331"/>
    <cellStyle name="Style 159" xfId="1332"/>
    <cellStyle name="Style 16" xfId="1333"/>
    <cellStyle name="Style 160" xfId="1334"/>
    <cellStyle name="Style 161" xfId="1335"/>
    <cellStyle name="Style 162" xfId="1336"/>
    <cellStyle name="Style 163" xfId="1337"/>
    <cellStyle name="Style 164" xfId="1338"/>
    <cellStyle name="Style 165" xfId="1339"/>
    <cellStyle name="Style 166" xfId="1340"/>
    <cellStyle name="Style 167" xfId="1341"/>
    <cellStyle name="Style 168" xfId="1342"/>
    <cellStyle name="Style 169" xfId="1343"/>
    <cellStyle name="Style 17" xfId="1344"/>
    <cellStyle name="Style 170" xfId="1345"/>
    <cellStyle name="Style 171" xfId="1346"/>
    <cellStyle name="Style 172" xfId="1347"/>
    <cellStyle name="Style 173" xfId="1348"/>
    <cellStyle name="Style 174" xfId="1349"/>
    <cellStyle name="Style 175" xfId="1350"/>
    <cellStyle name="Style 176" xfId="1351"/>
    <cellStyle name="Style 177" xfId="1352"/>
    <cellStyle name="Style 178" xfId="1353"/>
    <cellStyle name="Style 179" xfId="1354"/>
    <cellStyle name="Style 18" xfId="1355"/>
    <cellStyle name="Style 180" xfId="1356"/>
    <cellStyle name="Style 181" xfId="1357"/>
    <cellStyle name="Style 182" xfId="1358"/>
    <cellStyle name="Style 183" xfId="1359"/>
    <cellStyle name="Style 184" xfId="1360"/>
    <cellStyle name="Style 185" xfId="1361"/>
    <cellStyle name="Style 186" xfId="1362"/>
    <cellStyle name="Style 187" xfId="1363"/>
    <cellStyle name="Style 188" xfId="1364"/>
    <cellStyle name="Style 189" xfId="1365"/>
    <cellStyle name="Style 19" xfId="1366"/>
    <cellStyle name="Style 190" xfId="1367"/>
    <cellStyle name="Style 191" xfId="1368"/>
    <cellStyle name="Style 192" xfId="1369"/>
    <cellStyle name="Style 193" xfId="1370"/>
    <cellStyle name="Style 194" xfId="1371"/>
    <cellStyle name="Style 195" xfId="1372"/>
    <cellStyle name="Style 196" xfId="1373"/>
    <cellStyle name="Style 197" xfId="1374"/>
    <cellStyle name="Style 198" xfId="1375"/>
    <cellStyle name="Style 199" xfId="1376"/>
    <cellStyle name="Style 2" xfId="1377"/>
    <cellStyle name="Style 20" xfId="1378"/>
    <cellStyle name="Style 200" xfId="1379"/>
    <cellStyle name="Style 201" xfId="1380"/>
    <cellStyle name="Style 202" xfId="1381"/>
    <cellStyle name="Style 203" xfId="1382"/>
    <cellStyle name="Style 204" xfId="1383"/>
    <cellStyle name="Style 205" xfId="1384"/>
    <cellStyle name="Style 206" xfId="1385"/>
    <cellStyle name="Style 207" xfId="1386"/>
    <cellStyle name="Style 208" xfId="1387"/>
    <cellStyle name="Style 209" xfId="1388"/>
    <cellStyle name="Style 21" xfId="1389"/>
    <cellStyle name="Style 210" xfId="1390"/>
    <cellStyle name="Style 211" xfId="1391"/>
    <cellStyle name="Style 212" xfId="1392"/>
    <cellStyle name="Style 213" xfId="1393"/>
    <cellStyle name="Style 214" xfId="1394"/>
    <cellStyle name="Style 215" xfId="1395"/>
    <cellStyle name="Style 216" xfId="1396"/>
    <cellStyle name="Style 217" xfId="1397"/>
    <cellStyle name="Style 218" xfId="1398"/>
    <cellStyle name="Style 219" xfId="1399"/>
    <cellStyle name="Style 22" xfId="1400"/>
    <cellStyle name="Style 220" xfId="1401"/>
    <cellStyle name="Style 221" xfId="1402"/>
    <cellStyle name="Style 222" xfId="1403"/>
    <cellStyle name="Style 223" xfId="1404"/>
    <cellStyle name="Style 224" xfId="1405"/>
    <cellStyle name="Style 225" xfId="1406"/>
    <cellStyle name="Style 226" xfId="1407"/>
    <cellStyle name="Style 227" xfId="1408"/>
    <cellStyle name="Style 228" xfId="1409"/>
    <cellStyle name="Style 229" xfId="1410"/>
    <cellStyle name="Style 23" xfId="1411"/>
    <cellStyle name="Style 230" xfId="1412"/>
    <cellStyle name="Style 231" xfId="1413"/>
    <cellStyle name="Style 232" xfId="1414"/>
    <cellStyle name="Style 233" xfId="1415"/>
    <cellStyle name="Style 234" xfId="1416"/>
    <cellStyle name="Style 235" xfId="1417"/>
    <cellStyle name="Style 236" xfId="1418"/>
    <cellStyle name="Style 237" xfId="1419"/>
    <cellStyle name="Style 238" xfId="1420"/>
    <cellStyle name="Style 239" xfId="1421"/>
    <cellStyle name="Style 24" xfId="1422"/>
    <cellStyle name="Style 25" xfId="1423"/>
    <cellStyle name="Style 26" xfId="1424"/>
    <cellStyle name="Style 27" xfId="1425"/>
    <cellStyle name="Style 28" xfId="1426"/>
    <cellStyle name="Style 29" xfId="1427"/>
    <cellStyle name="Style 3" xfId="1428"/>
    <cellStyle name="Style 30" xfId="1429"/>
    <cellStyle name="Style 31" xfId="1430"/>
    <cellStyle name="Style 32" xfId="1431"/>
    <cellStyle name="Style 33" xfId="1432"/>
    <cellStyle name="Style 34" xfId="1433"/>
    <cellStyle name="Style 35" xfId="1434"/>
    <cellStyle name="Style 36" xfId="1435"/>
    <cellStyle name="Style 37" xfId="1436"/>
    <cellStyle name="Style 38" xfId="1437"/>
    <cellStyle name="Style 39" xfId="1438"/>
    <cellStyle name="Style 4" xfId="1439"/>
    <cellStyle name="Style 40" xfId="1440"/>
    <cellStyle name="Style 41" xfId="1441"/>
    <cellStyle name="Style 42" xfId="1442"/>
    <cellStyle name="Style 43" xfId="1443"/>
    <cellStyle name="Style 44" xfId="1444"/>
    <cellStyle name="Style 45" xfId="1445"/>
    <cellStyle name="Style 46" xfId="1446"/>
    <cellStyle name="Style 47" xfId="1447"/>
    <cellStyle name="Style 48" xfId="1448"/>
    <cellStyle name="Style 49" xfId="1449"/>
    <cellStyle name="Style 5" xfId="1450"/>
    <cellStyle name="Style 50" xfId="1451"/>
    <cellStyle name="Style 51" xfId="1452"/>
    <cellStyle name="Style 52" xfId="1453"/>
    <cellStyle name="Style 53" xfId="1454"/>
    <cellStyle name="Style 54" xfId="1455"/>
    <cellStyle name="Style 55" xfId="1456"/>
    <cellStyle name="Style 56" xfId="1457"/>
    <cellStyle name="Style 57" xfId="1458"/>
    <cellStyle name="Style 58" xfId="1459"/>
    <cellStyle name="Style 59" xfId="1460"/>
    <cellStyle name="Style 6" xfId="1461"/>
    <cellStyle name="Style 60" xfId="1462"/>
    <cellStyle name="Style 61" xfId="1463"/>
    <cellStyle name="Style 62" xfId="1464"/>
    <cellStyle name="Style 63" xfId="1465"/>
    <cellStyle name="Style 64" xfId="1466"/>
    <cellStyle name="Style 65" xfId="1467"/>
    <cellStyle name="Style 66" xfId="1468"/>
    <cellStyle name="Style 67" xfId="1469"/>
    <cellStyle name="Style 68" xfId="1470"/>
    <cellStyle name="Style 69" xfId="1471"/>
    <cellStyle name="Style 7" xfId="1472"/>
    <cellStyle name="Style 70" xfId="1473"/>
    <cellStyle name="Style 71" xfId="1474"/>
    <cellStyle name="Style 72" xfId="1475"/>
    <cellStyle name="Style 73" xfId="1476"/>
    <cellStyle name="Style 74" xfId="1477"/>
    <cellStyle name="Style 75" xfId="1478"/>
    <cellStyle name="Style 76" xfId="1479"/>
    <cellStyle name="Style 77" xfId="1480"/>
    <cellStyle name="Style 78" xfId="1481"/>
    <cellStyle name="Style 79" xfId="1482"/>
    <cellStyle name="Style 8" xfId="1483"/>
    <cellStyle name="Style 80" xfId="1484"/>
    <cellStyle name="Style 81" xfId="1485"/>
    <cellStyle name="Style 82" xfId="1486"/>
    <cellStyle name="Style 83" xfId="1487"/>
    <cellStyle name="Style 84" xfId="1488"/>
    <cellStyle name="Style 85" xfId="1489"/>
    <cellStyle name="Style 86" xfId="1490"/>
    <cellStyle name="Style 87" xfId="1491"/>
    <cellStyle name="Style 88" xfId="1492"/>
    <cellStyle name="Style 89" xfId="1493"/>
    <cellStyle name="Style 9" xfId="1494"/>
    <cellStyle name="Style 90" xfId="1495"/>
    <cellStyle name="Style 91" xfId="1496"/>
    <cellStyle name="Style 92" xfId="1497"/>
    <cellStyle name="Style 93" xfId="1498"/>
    <cellStyle name="Style 94" xfId="1499"/>
    <cellStyle name="Style 95" xfId="1500"/>
    <cellStyle name="Style 96" xfId="1501"/>
    <cellStyle name="Style 97" xfId="1502"/>
    <cellStyle name="Style 98" xfId="1503"/>
    <cellStyle name="Style 99" xfId="1504"/>
    <cellStyle name="style_1" xfId="1505"/>
    <cellStyle name="STYLE1" xfId="1506"/>
    <cellStyle name="STYLE2" xfId="1507"/>
    <cellStyle name="STYLE3" xfId="1508"/>
    <cellStyle name="STYLE4" xfId="1509"/>
    <cellStyle name="STYLE5" xfId="1510"/>
    <cellStyle name="STYLE6" xfId="1511"/>
    <cellStyle name="subhead" xfId="1512"/>
    <cellStyle name="SubHeading" xfId="1513"/>
    <cellStyle name="Subtotal" xfId="1514"/>
    <cellStyle name="symbol" xfId="1515"/>
    <cellStyle name="T" xfId="1516"/>
    <cellStyle name="T_Bao cao kttb milk yomilkYAO-mien bac" xfId="1517"/>
    <cellStyle name="T_Bao cao kttb milk yomilkYAO-mien bac_BAO GIA-moi" xfId="1518"/>
    <cellStyle name="T_Bao cao kttb milk yomilkYAO-mien bac_Casement door" xfId="1519"/>
    <cellStyle name="T_Bao cao kttb milk yomilkYAO-mien bac_Casement window" xfId="1520"/>
    <cellStyle name="T_Bao cao kttb milk yomilkYAO-mien bac_Sliding door&amp;window SR_SF" xfId="1521"/>
    <cellStyle name="T_BAO GIA-moi" xfId="1522"/>
    <cellStyle name="T_BAO GIA-moi 2" xfId="1523"/>
    <cellStyle name="T_BAO GIA-moi 3" xfId="1524"/>
    <cellStyle name="T_BAO GIA-moi 4" xfId="1525"/>
    <cellStyle name="T_BAO GIA-moi 5" xfId="1526"/>
    <cellStyle name="T_BAO GIA-moi_Dat kinh so   -17082012-Nha A Trung TGD" xfId="1527"/>
    <cellStyle name="T_BAO GIA-moi_KINH NHA CO NGA 18-09-12" xfId="1528"/>
    <cellStyle name="T_BAO GIA-moi_thong ke kinh PHONG mau-sxl1" xfId="1529"/>
    <cellStyle name="T_BAO GIA-moi_thong ke kinh Tang mau-sxl1" xfId="1530"/>
    <cellStyle name="T_bc_km_ngay" xfId="1531"/>
    <cellStyle name="T_bc_km_ngay_BAO GIA-moi" xfId="1532"/>
    <cellStyle name="T_bc_km_ngay_Casement door" xfId="1533"/>
    <cellStyle name="T_bc_km_ngay_Casement window" xfId="1534"/>
    <cellStyle name="T_bc_km_ngay_Sliding door&amp;window SR_SF" xfId="1535"/>
    <cellStyle name="T_Book1" xfId="1536"/>
    <cellStyle name="T_Book1_BAO GIA-moi" xfId="1537"/>
    <cellStyle name="T_Book1_Casement door" xfId="1538"/>
    <cellStyle name="T_Book1_Casement window" xfId="1539"/>
    <cellStyle name="T_Book1_Sliding door&amp;window SR_SF" xfId="1540"/>
    <cellStyle name="T_Cac bao cao TB  Milk-Yomilk-co Ke- CK 1-Vinh Thang" xfId="1541"/>
    <cellStyle name="T_Cac bao cao TB  Milk-Yomilk-co Ke- CK 1-Vinh Thang_BAO GIA-moi" xfId="1542"/>
    <cellStyle name="T_Cac bao cao TB  Milk-Yomilk-co Ke- CK 1-Vinh Thang_Casement door" xfId="1543"/>
    <cellStyle name="T_Cac bao cao TB  Milk-Yomilk-co Ke- CK 1-Vinh Thang_Casement window" xfId="1544"/>
    <cellStyle name="T_Cac bao cao TB  Milk-Yomilk-co Ke- CK 1-Vinh Thang_Sliding door&amp;window SR_SF" xfId="1545"/>
    <cellStyle name="T_cham diem Milk chu ky2-ANH MINH" xfId="1546"/>
    <cellStyle name="T_cham diem Milk chu ky2-ANH MINH_BAO GIA-moi" xfId="1547"/>
    <cellStyle name="T_cham diem Milk chu ky2-ANH MINH_Casement door" xfId="1548"/>
    <cellStyle name="T_cham diem Milk chu ky2-ANH MINH_Casement window" xfId="1549"/>
    <cellStyle name="T_cham diem Milk chu ky2-ANH MINH_Sliding door&amp;window SR_SF" xfId="1550"/>
    <cellStyle name="T_cham trung bay ck 1 m.Bac milk co ke 2" xfId="1551"/>
    <cellStyle name="T_cham trung bay ck 1 m.Bac milk co ke 2_BAO GIA-moi" xfId="1552"/>
    <cellStyle name="T_cham trung bay ck 1 m.Bac milk co ke 2_Casement door" xfId="1553"/>
    <cellStyle name="T_cham trung bay ck 1 m.Bac milk co ke 2_Casement window" xfId="1554"/>
    <cellStyle name="T_cham trung bay ck 1 m.Bac milk co ke 2_Sliding door&amp;window SR_SF" xfId="1555"/>
    <cellStyle name="T_cham trung bay yao smart milk ck 2 mien Bac" xfId="1556"/>
    <cellStyle name="T_cham trung bay yao smart milk ck 2 mien Bac_BAO GIA-moi" xfId="1557"/>
    <cellStyle name="T_cham trung bay yao smart milk ck 2 mien Bac_Casement door" xfId="1558"/>
    <cellStyle name="T_cham trung bay yao smart milk ck 2 mien Bac_Casement window" xfId="1559"/>
    <cellStyle name="T_cham trung bay yao smart milk ck 2 mien Bac_Sliding door&amp;window SR_SF" xfId="1560"/>
    <cellStyle name="T_Chi_phi_627_theo_thang_08 " xfId="1561"/>
    <cellStyle name="T_Chi_phi_627_theo_thang_08 _BAO GIA-moi" xfId="1562"/>
    <cellStyle name="T_Chi_phi_627_theo_thang_08 _Casement door" xfId="1563"/>
    <cellStyle name="T_Chi_phi_627_theo_thang_08 _Casement window" xfId="1564"/>
    <cellStyle name="T_Chi_phi_627_theo_thang_08 _Sliding door&amp;window SR_SF" xfId="1565"/>
    <cellStyle name="T_Cong bo thong tin tom tat Q42007 " xfId="1566"/>
    <cellStyle name="T_Cong bo thong tin tom tat Q42007 _BAO GIA-moi" xfId="1567"/>
    <cellStyle name="T_Cong bo thong tin tom tat Q42007 _BAO GIA-moi 2" xfId="1568"/>
    <cellStyle name="T_Cong bo thong tin tom tat Q42007 _BAO GIA-moi 3" xfId="1569"/>
    <cellStyle name="T_Cong bo thong tin tom tat Q42007 _BAO GIA-moi 4" xfId="1570"/>
    <cellStyle name="T_Cong bo thong tin tom tat Q42007 _BAO GIA-moi 5" xfId="1571"/>
    <cellStyle name="T_Cong bo thong tin tom tat Q42007 _BAO GIA-moi_Dat kinh so   -17082012-Nha A Trung TGD" xfId="1572"/>
    <cellStyle name="T_Cong bo thong tin tom tat Q42007 _BAO GIA-moi_KINH NHA CO NGA 18-09-12" xfId="1573"/>
    <cellStyle name="T_Cong bo thong tin tom tat Q42007 _BAO GIA-moi_thong ke kinh PHONG mau-sxl1" xfId="1574"/>
    <cellStyle name="T_Cong bo thong tin tom tat Q42007 _BAO GIA-moi_thong ke kinh Tang mau-sxl1" xfId="1575"/>
    <cellStyle name="T_Cong bo thong tin tom tat Q42007 _CSMH 1C" xfId="1576"/>
    <cellStyle name="T_Cong bo thong tin tom tat Q42007 _Sliding door&amp;window SR_SF" xfId="1577"/>
    <cellStyle name="T_Cong bo thong tin tom tat Q42007 _Sliding door&amp;window SR_SF 2" xfId="1578"/>
    <cellStyle name="T_Cong bo thong tin tom tat Q42007 _Sliding door&amp;window SR_SF 3" xfId="1579"/>
    <cellStyle name="T_Cong bo thong tin tom tat Q42007 _Sliding door&amp;window SR_SF 4" xfId="1580"/>
    <cellStyle name="T_Cong bo thong tin tom tat Q42007 _Sliding door&amp;window SR_SF 5" xfId="1581"/>
    <cellStyle name="T_Cong bo thong tin tom tat Q42007 _Sliding door&amp;window SR_SF_Dat kinh so   -17082012-Nha A Trung TGD" xfId="1582"/>
    <cellStyle name="T_Cong bo thong tin tom tat Q42007 _Sliding door&amp;window SR_SF_KINH NHA CO NGA 18-09-12" xfId="1583"/>
    <cellStyle name="T_Cong bo thong tin tom tat Q42007 _Sliding door&amp;window SR_SF_thong ke kinh PHONG mau-sxl1" xfId="1584"/>
    <cellStyle name="T_Cong bo thong tin tom tat Q42007 _Sliding door&amp;window SR_SF_thong ke kinh Tang mau-sxl1" xfId="1585"/>
    <cellStyle name="T_CSMH 1C" xfId="1586"/>
    <cellStyle name="T_danh sach chua nop bcao trung bay sua chua  tinh den 1-3-06" xfId="1587"/>
    <cellStyle name="T_danh sach chua nop bcao trung bay sua chua  tinh den 1-3-06_BAO GIA-moi" xfId="1588"/>
    <cellStyle name="T_danh sach chua nop bcao trung bay sua chua  tinh den 1-3-06_Casement door" xfId="1589"/>
    <cellStyle name="T_danh sach chua nop bcao trung bay sua chua  tinh den 1-3-06_Casement window" xfId="1590"/>
    <cellStyle name="T_danh sach chua nop bcao trung bay sua chua  tinh den 1-3-06_Sliding door&amp;window SR_SF" xfId="1591"/>
    <cellStyle name="T_Danh sach KH TB MilkYomilk Yao  Smart chu ky 2-Vinh Thang" xfId="1592"/>
    <cellStyle name="T_Danh sach KH TB MilkYomilk Yao  Smart chu ky 2-Vinh Thang_BAO GIA-moi" xfId="1593"/>
    <cellStyle name="T_Danh sach KH TB MilkYomilk Yao  Smart chu ky 2-Vinh Thang_Casement door" xfId="1594"/>
    <cellStyle name="T_Danh sach KH TB MilkYomilk Yao  Smart chu ky 2-Vinh Thang_Casement window" xfId="1595"/>
    <cellStyle name="T_Danh sach KH TB MilkYomilk Yao  Smart chu ky 2-Vinh Thang_Sliding door&amp;window SR_SF" xfId="1596"/>
    <cellStyle name="T_Danh sach KH trung bay MilkYomilk co ke chu ky 2-Vinh Thang" xfId="1597"/>
    <cellStyle name="T_Danh sach KH trung bay MilkYomilk co ke chu ky 2-Vinh Thang_BAO GIA-moi" xfId="1598"/>
    <cellStyle name="T_Danh sach KH trung bay MilkYomilk co ke chu ky 2-Vinh Thang_Casement door" xfId="1599"/>
    <cellStyle name="T_Danh sach KH trung bay MilkYomilk co ke chu ky 2-Vinh Thang_Casement window" xfId="1600"/>
    <cellStyle name="T_Danh sach KH trung bay MilkYomilk co ke chu ky 2-Vinh Thang_Sliding door&amp;window SR_SF" xfId="1601"/>
    <cellStyle name="T_DSACH MILK YO MILK CK 2 M.BAC" xfId="1602"/>
    <cellStyle name="T_DSACH MILK YO MILK CK 2 M.BAC_BAO GIA-moi" xfId="1603"/>
    <cellStyle name="T_DSACH MILK YO MILK CK 2 M.BAC_Casement door" xfId="1604"/>
    <cellStyle name="T_DSACH MILK YO MILK CK 2 M.BAC_Casement window" xfId="1605"/>
    <cellStyle name="T_DSACH MILK YO MILK CK 2 M.BAC_Sliding door&amp;window SR_SF" xfId="1606"/>
    <cellStyle name="T_DSKH Tbay Milk , Yomilk CK 2 Vu Thi Hanh" xfId="1607"/>
    <cellStyle name="T_DSKH Tbay Milk , Yomilk CK 2 Vu Thi Hanh_BAO GIA-moi" xfId="1608"/>
    <cellStyle name="T_DSKH Tbay Milk , Yomilk CK 2 Vu Thi Hanh_Casement door" xfId="1609"/>
    <cellStyle name="T_DSKH Tbay Milk , Yomilk CK 2 Vu Thi Hanh_Casement window" xfId="1610"/>
    <cellStyle name="T_DSKH Tbay Milk , Yomilk CK 2 Vu Thi Hanh_Sliding door&amp;window SR_SF" xfId="1611"/>
    <cellStyle name="T_form ton kho CK 2 tuan 8" xfId="1612"/>
    <cellStyle name="T_form ton kho CK 2 tuan 8_BAO GIA-moi" xfId="1613"/>
    <cellStyle name="T_form ton kho CK 2 tuan 8_Casement door" xfId="1614"/>
    <cellStyle name="T_form ton kho CK 2 tuan 8_Casement window" xfId="1615"/>
    <cellStyle name="T_form ton kho CK 2 tuan 8_Sliding door&amp;window SR_SF" xfId="1616"/>
    <cellStyle name="T_HAN SU DUNG" xfId="1617"/>
    <cellStyle name="T_HAN SU DUNG_BAO GIA-moi" xfId="1618"/>
    <cellStyle name="T_HAN SU DUNG_Casement door" xfId="1619"/>
    <cellStyle name="T_HAN SU DUNG_Casement window" xfId="1620"/>
    <cellStyle name="T_HAN SU DUNG_Sliding door&amp;window SR_SF" xfId="1621"/>
    <cellStyle name="T_Harada - WTB 31.12.06 v10" xfId="1622"/>
    <cellStyle name="T_Harada - WTB 31.12.06 v10_BAO GIA-moi" xfId="1623"/>
    <cellStyle name="T_Harada - WTB 31.12.06 v10_Casement door" xfId="1624"/>
    <cellStyle name="T_Harada - WTB 31.12.06 v10_Casement window" xfId="1625"/>
    <cellStyle name="T_Harada - WTB 31.12.06 v10_Sliding door&amp;window SR_SF" xfId="1626"/>
    <cellStyle name="T_KD - Stock WPs - NTHH" xfId="1627"/>
    <cellStyle name="T_KD - Stock WPs - NTHH_BAO GIA-moi" xfId="1628"/>
    <cellStyle name="T_KD - Stock WPs - NTHH_BAO GIA-moi 2" xfId="1629"/>
    <cellStyle name="T_KD - Stock WPs - NTHH_BAO GIA-moi 3" xfId="1630"/>
    <cellStyle name="T_KD - Stock WPs - NTHH_BAO GIA-moi 4" xfId="1631"/>
    <cellStyle name="T_KD - Stock WPs - NTHH_BAO GIA-moi 5" xfId="1632"/>
    <cellStyle name="T_KD - Stock WPs - NTHH_BAO GIA-moi_Dat kinh so   -17082012-Nha A Trung TGD" xfId="1633"/>
    <cellStyle name="T_KD - Stock WPs - NTHH_BAO GIA-moi_KINH NHA CO NGA 18-09-12" xfId="1634"/>
    <cellStyle name="T_KD - Stock WPs - NTHH_BAO GIA-moi_thong ke kinh PHONG mau-sxl1" xfId="1635"/>
    <cellStyle name="T_KD - Stock WPs - NTHH_BAO GIA-moi_thong ke kinh Tang mau-sxl1" xfId="1636"/>
    <cellStyle name="T_KD - Stock WPs - NTHH_CSMH 1C" xfId="1637"/>
    <cellStyle name="T_KD - Stock WPs - NTHH_Sliding door&amp;window SR_SF" xfId="1638"/>
    <cellStyle name="T_KD - Stock WPs - NTHH_Sliding door&amp;window SR_SF 2" xfId="1639"/>
    <cellStyle name="T_KD - Stock WPs - NTHH_Sliding door&amp;window SR_SF 3" xfId="1640"/>
    <cellStyle name="T_KD - Stock WPs - NTHH_Sliding door&amp;window SR_SF 4" xfId="1641"/>
    <cellStyle name="T_KD - Stock WPs - NTHH_Sliding door&amp;window SR_SF 5" xfId="1642"/>
    <cellStyle name="T_KD - Stock WPs - NTHH_Sliding door&amp;window SR_SF_Dat kinh so   -17082012-Nha A Trung TGD" xfId="1643"/>
    <cellStyle name="T_KD - Stock WPs - NTHH_Sliding door&amp;window SR_SF_KINH NHA CO NGA 18-09-12" xfId="1644"/>
    <cellStyle name="T_KD - Stock WPs - NTHH_Sliding door&amp;window SR_SF_thong ke kinh PHONG mau-sxl1" xfId="1645"/>
    <cellStyle name="T_KD - Stock WPs - NTHH_Sliding door&amp;window SR_SF_thong ke kinh Tang mau-sxl1" xfId="1646"/>
    <cellStyle name="T_Long term prepayments" xfId="1647"/>
    <cellStyle name="T_Long term prepayments_BAO GIA-moi" xfId="1648"/>
    <cellStyle name="T_Long term prepayments_BAO GIA-moi 2" xfId="1649"/>
    <cellStyle name="T_Long term prepayments_BAO GIA-moi 3" xfId="1650"/>
    <cellStyle name="T_Long term prepayments_BAO GIA-moi 4" xfId="1651"/>
    <cellStyle name="T_Long term prepayments_BAO GIA-moi 5" xfId="1652"/>
    <cellStyle name="T_Long term prepayments_BAO GIA-moi_Dat kinh so   -17082012-Nha A Trung TGD" xfId="1653"/>
    <cellStyle name="T_Long term prepayments_BAO GIA-moi_KINH NHA CO NGA 18-09-12" xfId="1654"/>
    <cellStyle name="T_Long term prepayments_BAO GIA-moi_thong ke kinh PHONG mau-sxl1" xfId="1655"/>
    <cellStyle name="T_Long term prepayments_BAO GIA-moi_thong ke kinh Tang mau-sxl1" xfId="1656"/>
    <cellStyle name="T_Long term prepayments_CSMH 1C" xfId="1657"/>
    <cellStyle name="T_Long term prepayments_Sliding door&amp;window SR_SF" xfId="1658"/>
    <cellStyle name="T_Long term prepayments_Sliding door&amp;window SR_SF 2" xfId="1659"/>
    <cellStyle name="T_Long term prepayments_Sliding door&amp;window SR_SF 3" xfId="1660"/>
    <cellStyle name="T_Long term prepayments_Sliding door&amp;window SR_SF 4" xfId="1661"/>
    <cellStyle name="T_Long term prepayments_Sliding door&amp;window SR_SF 5" xfId="1662"/>
    <cellStyle name="T_Long term prepayments_Sliding door&amp;window SR_SF_Dat kinh so   -17082012-Nha A Trung TGD" xfId="1663"/>
    <cellStyle name="T_Long term prepayments_Sliding door&amp;window SR_SF_KINH NHA CO NGA 18-09-12" xfId="1664"/>
    <cellStyle name="T_Long term prepayments_Sliding door&amp;window SR_SF_thong ke kinh PHONG mau-sxl1" xfId="1665"/>
    <cellStyle name="T_Long term prepayments_Sliding door&amp;window SR_SF_thong ke kinh Tang mau-sxl1" xfId="1666"/>
    <cellStyle name="T_mau Bao gia cua nhua uPVC " xfId="1667"/>
    <cellStyle name="T_NPP Khanh Vinh Thai Nguyen - BC KTTB_CTrinh_TB__20_loc__Milk_Yomilk_CK1" xfId="1668"/>
    <cellStyle name="T_NPP Khanh Vinh Thai Nguyen - BC KTTB_CTrinh_TB__20_loc__Milk_Yomilk_CK1_BAO GIA-moi" xfId="1669"/>
    <cellStyle name="T_NPP Khanh Vinh Thai Nguyen - BC KTTB_CTrinh_TB__20_loc__Milk_Yomilk_CK1_Casement door" xfId="1670"/>
    <cellStyle name="T_NPP Khanh Vinh Thai Nguyen - BC KTTB_CTrinh_TB__20_loc__Milk_Yomilk_CK1_Casement window" xfId="1671"/>
    <cellStyle name="T_NPP Khanh Vinh Thai Nguyen - BC KTTB_CTrinh_TB__20_loc__Milk_Yomilk_CK1_Sliding door&amp;window SR_SF" xfId="1672"/>
    <cellStyle name="T_Sheet1" xfId="1673"/>
    <cellStyle name="T_Sheet1_BAO GIA-moi" xfId="1674"/>
    <cellStyle name="T_Sheet1_Casement door" xfId="1675"/>
    <cellStyle name="T_Sheet1_Casement window" xfId="1676"/>
    <cellStyle name="T_Sheet1_Sliding door&amp;window SR_SF" xfId="1677"/>
    <cellStyle name="T_Sliding door&amp;window SR_SF" xfId="1678"/>
    <cellStyle name="T_Sliding door&amp;window SR_SF 2" xfId="1679"/>
    <cellStyle name="T_Sliding door&amp;window SR_SF 3" xfId="1680"/>
    <cellStyle name="T_Sliding door&amp;window SR_SF 4" xfId="1681"/>
    <cellStyle name="T_Sliding door&amp;window SR_SF 5" xfId="1682"/>
    <cellStyle name="T_Sliding door&amp;window SR_SF_Dat kinh so   -17082012-Nha A Trung TGD" xfId="1683"/>
    <cellStyle name="T_Sliding door&amp;window SR_SF_KINH NHA CO NGA 18-09-12" xfId="1684"/>
    <cellStyle name="T_Sliding door&amp;window SR_SF_thong ke kinh PHONG mau-sxl1" xfId="1685"/>
    <cellStyle name="T_Sliding door&amp;window SR_SF_thong ke kinh Tang mau-sxl1" xfId="1686"/>
    <cellStyle name="T_sua chua cham trung bay  mien Bac" xfId="1687"/>
    <cellStyle name="T_sua chua cham trung bay  mien Bac_BAO GIA-moi" xfId="1688"/>
    <cellStyle name="T_sua chua cham trung bay  mien Bac_Casement door" xfId="1689"/>
    <cellStyle name="T_sua chua cham trung bay  mien Bac_Casement window" xfId="1690"/>
    <cellStyle name="T_sua chua cham trung bay  mien Bac_Sliding door&amp;window SR_SF" xfId="1691"/>
    <cellStyle name="T_tong kho 31.12.06" xfId="1692"/>
    <cellStyle name="T_tong kho 31.12.06_BAO GIA-moi" xfId="1693"/>
    <cellStyle name="T_tong kho 31.12.06_Casement door" xfId="1694"/>
    <cellStyle name="T_tong kho 31.12.06_Casement window" xfId="1695"/>
    <cellStyle name="T_tong kho 31.12.06_Sliding door&amp;window SR_SF" xfId="1696"/>
    <cellStyle name="Text" xfId="1697"/>
    <cellStyle name="Text Indent A" xfId="1698"/>
    <cellStyle name="Text Indent B" xfId="1699"/>
    <cellStyle name="Text Indent B 2" xfId="1700"/>
    <cellStyle name="Text Indent B 3" xfId="1701"/>
    <cellStyle name="Text Indent B 4" xfId="1702"/>
    <cellStyle name="Text Indent B 5" xfId="1703"/>
    <cellStyle name="Text Indent C" xfId="1704"/>
    <cellStyle name="Text Indent C 2" xfId="1705"/>
    <cellStyle name="Text Indent C 3" xfId="1706"/>
    <cellStyle name="Text Indent C 4" xfId="1707"/>
    <cellStyle name="Text Indent C 5" xfId="1708"/>
    <cellStyle name="Text_BAO GIA-moi" xfId="1709"/>
    <cellStyle name="th" xfId="1710"/>
    <cellStyle name="þ_x001d_" xfId="1711"/>
    <cellStyle name="th_BAO GIA-moi" xfId="1712"/>
    <cellStyle name="Thanh" xfId="1713"/>
    <cellStyle name="þ_x001d_ð¤_x000c_¯" xfId="1714"/>
    <cellStyle name="þ_x001d_ð¤_x000c_¯þ_x0014__x000d_¨" xfId="1715"/>
    <cellStyle name="þ_x001d_ð¤_x000c_¯þ_x0014__x000d_¨þU_x0001_À_x0004_ _x0015__x000f__x0001__x0001_" xfId="1716"/>
    <cellStyle name="þ_x001d_ð·_x000c_æþ'_x000d_ßþU_x0001_Ø_x0005_ü_x0014__x0007__x0001__x0001_" xfId="1717"/>
    <cellStyle name="þ_x001d_ð·_x000c_æþ'_x000d_ßþU_x0001_Ø_x0005_ü_x0014__x0007__x0001__x0001_ 2" xfId="1718"/>
    <cellStyle name="þ_x001d_ð·_x000c_æþ'_x000d_ßþU_x0001_Ø_x0005_ü_x0014__x0007__x0001__x0001_ 3" xfId="1719"/>
    <cellStyle name="þ_x001d_ð·_x000c_æþ'_x000d_ßþU_x0001_Ø_x0005_ü_x0014__x0007__x0001__x0001_ 4" xfId="1720"/>
    <cellStyle name="þ_x001d_ð·_x000c_æþ'_x000d_ßþU_x0001_Ø_x0005_ü_x0014__x0007__x0001__x0001_ 5" xfId="1721"/>
    <cellStyle name="þ_x001d_ð·_x000c_æþ'_x000d_ßþU_x0001_Ø_x0005_ü_x0014__x0007__x0001__x0001__Dat kinh so   -17082012-Nha A Trung TGD" xfId="1722"/>
    <cellStyle name="þ_x001d_ð2_x000c_ëþ_x0002__x000d_ÞþU_x0001_R_x0006_—_x0007__x0007__x0001__x0001_" xfId="1723"/>
    <cellStyle name="þ_x001d_ð2_x000c_ëþ_x0002__x000d_ÞþU_x0001_R_x0006_—_x0007__x0007__x0001__x0001_ 2" xfId="1724"/>
    <cellStyle name="þ_x001d_ð2_x000c_ëþ_x0002__x000d_ÞþU_x0001_R_x0006_—_x0007__x0007__x0001__x0001_ 3" xfId="1725"/>
    <cellStyle name="þ_x001d_ð2_x000c_ëþ_x0002__x000d_ÞþU_x0001_R_x0006_—_x0007__x0007__x0001__x0001_ 4" xfId="1726"/>
    <cellStyle name="þ_x001d_ð2_x000c_ëþ_x0002__x000d_ÞþU_x0001_R_x0006_—_x0007__x0007__x0001__x0001_ 5" xfId="1727"/>
    <cellStyle name="þ_x001d_ðK_x000c_Fý_x001b_" xfId="1728"/>
    <cellStyle name="þ_x001d_ðK_x000c_Fý_x001b__x000d_" xfId="1729"/>
    <cellStyle name="þ_x001d_ðK_x000c_Fý_x001b__x000d_9" xfId="1730"/>
    <cellStyle name="þ_x001d_ðK_x000c_Fý_x001b__x000d_9ýU" xfId="1731"/>
    <cellStyle name="þ_x001d_ðK_x000c_Fý_x001b__x000d_9ýU_x0001_Ð" xfId="1732"/>
    <cellStyle name="þ_x001d_ðK_x000c_Fý_x001b__x000d_9ýU_x0001_Ð_x0008_" xfId="1733"/>
    <cellStyle name="þ_x001d_ðK_x000c_Fý_x001b__x000d_9ýU_x0001_Ð_BAO GIA-moi" xfId="1734"/>
    <cellStyle name="þ_x001d_ðK_x000c_Fý_x001b__x000d_9ýU_x0001_Ð_x0008_¦)_x0007__x0001__x0001_" xfId="1735"/>
    <cellStyle name="þ_x001d_ðK_x000c_Fý_x001b__BAO GIA-moi" xfId="1736"/>
    <cellStyle name="Times New Roman" xfId="1737"/>
    <cellStyle name="trang" xfId="1738"/>
    <cellStyle name="ts" xfId="1739"/>
    <cellStyle name="ts 2" xfId="1740"/>
    <cellStyle name="ts 3" xfId="1741"/>
    <cellStyle name="ts 4" xfId="1742"/>
    <cellStyle name="ts 5" xfId="1743"/>
    <cellStyle name="Tusental (0)_pldt" xfId="1744"/>
    <cellStyle name="Tusental_pldt" xfId="1745"/>
    <cellStyle name="UNIDAGSCode" xfId="1746"/>
    <cellStyle name="UNIDAGSCode 2" xfId="1747"/>
    <cellStyle name="UNIDAGSCode 3" xfId="1748"/>
    <cellStyle name="UNIDAGSCode 4" xfId="1749"/>
    <cellStyle name="UNIDAGSCode 5" xfId="1750"/>
    <cellStyle name="UNIDAGSCode2" xfId="1751"/>
    <cellStyle name="UNIDAGSCurrency" xfId="1752"/>
    <cellStyle name="UNIDAGSCurrency 2" xfId="1753"/>
    <cellStyle name="UNIDAGSCurrency 3" xfId="1754"/>
    <cellStyle name="UNIDAGSCurrency 4" xfId="1755"/>
    <cellStyle name="UNIDAGSCurrency 5" xfId="1756"/>
    <cellStyle name="UNIDAGSDate" xfId="1757"/>
    <cellStyle name="UNIDAGSDate 2" xfId="1758"/>
    <cellStyle name="UNIDAGSDate 3" xfId="1759"/>
    <cellStyle name="UNIDAGSDate 4" xfId="1760"/>
    <cellStyle name="UNIDAGSDate 5" xfId="1761"/>
    <cellStyle name="UNIDAGSPercent" xfId="1762"/>
    <cellStyle name="UNIDAGSPercent 2" xfId="1763"/>
    <cellStyle name="UNIDAGSPercent 3" xfId="1764"/>
    <cellStyle name="UNIDAGSPercent 4" xfId="1765"/>
    <cellStyle name="UNIDAGSPercent 5" xfId="1766"/>
    <cellStyle name="UNIDAGSPercent2" xfId="1767"/>
    <cellStyle name="UNIDAGSPercent2 2" xfId="1768"/>
    <cellStyle name="UNIDAGSPercent2 3" xfId="1769"/>
    <cellStyle name="UNIDAGSPercent2 4" xfId="1770"/>
    <cellStyle name="UNIDAGSPercent2 5" xfId="1771"/>
    <cellStyle name="Valuta (0)_pldt" xfId="1772"/>
    <cellStyle name="Valuta_pldt" xfId="1773"/>
    <cellStyle name="viet" xfId="1774"/>
    <cellStyle name="viet2" xfId="1775"/>
    <cellStyle name="VN new romanNormal" xfId="1776"/>
    <cellStyle name="VN time new roman" xfId="1777"/>
    <cellStyle name="vnbo" xfId="1778"/>
    <cellStyle name="vnhead1" xfId="1779"/>
    <cellStyle name="vnhead2" xfId="1780"/>
    <cellStyle name="vnhead3" xfId="1781"/>
    <cellStyle name="vnhead4" xfId="1782"/>
    <cellStyle name="vntxt1" xfId="1783"/>
    <cellStyle name="vntxt2" xfId="1784"/>
    <cellStyle name="Währung [0]_68574_Materialbedarfsliste" xfId="1785"/>
    <cellStyle name="Währung_68574_Materialbedarfsliste" xfId="1786"/>
    <cellStyle name="xuan" xfId="1787"/>
    <cellStyle name="Zeilenebene_1_主营业务利润明细表" xfId="1788"/>
    <cellStyle name="センター" xfId="1789"/>
    <cellStyle name="เครื่องหมายสกุลเงิน [0]_FTC_OFFER" xfId="1790"/>
    <cellStyle name="เครื่องหมายสกุลเงิน_FTC_OFFER" xfId="1791"/>
    <cellStyle name="เซลล์ตรวจสอบ" xfId="1792"/>
    <cellStyle name="เซลล์ที่มีการเชื่อมโยง" xfId="1793"/>
    <cellStyle name="แย่" xfId="1794"/>
    <cellStyle name="แสดงผล" xfId="1795"/>
    <cellStyle name="การคำนวณ" xfId="1796"/>
    <cellStyle name="ข้อความเตือน" xfId="1797"/>
    <cellStyle name="ข้อความอธิบาย" xfId="1798"/>
    <cellStyle name="ชื่อเรื่อง" xfId="1799"/>
    <cellStyle name="ดี" xfId="1800"/>
    <cellStyle name="ปกติ_FTC_OFFER" xfId="1801"/>
    <cellStyle name="ป้อนค่า" xfId="1802"/>
    <cellStyle name="ปานกลาง" xfId="1803"/>
    <cellStyle name="ผลรวม" xfId="1804"/>
    <cellStyle name="ส่วนที่ถูกเน้น1" xfId="1805"/>
    <cellStyle name="ส่วนที่ถูกเน้น2" xfId="1806"/>
    <cellStyle name="ส่วนที่ถูกเน้น3" xfId="1807"/>
    <cellStyle name="ส่วนที่ถูกเน้น4" xfId="1808"/>
    <cellStyle name="ส่วนที่ถูกเน้น5" xfId="1809"/>
    <cellStyle name="ส่วนที่ถูกเน้น6" xfId="1810"/>
    <cellStyle name="หมายเหตุ" xfId="1811"/>
    <cellStyle name="หัวเรื่อง 1" xfId="1812"/>
    <cellStyle name="หัวเรื่อง 2" xfId="1813"/>
    <cellStyle name="หัวเรื่อง 3" xfId="1814"/>
    <cellStyle name="หัวเรื่อง 4" xfId="1815"/>
    <cellStyle name=" [0.00]_ Att. 1- Cover" xfId="1816"/>
    <cellStyle name="_ Att. 1- Cover" xfId="1817"/>
    <cellStyle name="?_ Att. 1- Cover" xfId="1818"/>
    <cellStyle name="고정소숫점" xfId="1819"/>
    <cellStyle name="고정출력1" xfId="1820"/>
    <cellStyle name="고정출력2" xfId="1821"/>
    <cellStyle name="날짜" xfId="1822"/>
    <cellStyle name="달러" xfId="1823"/>
    <cellStyle name="똿뗦먛귟 [0.00]_PRODUCT DETAIL Q1" xfId="1824"/>
    <cellStyle name="똿뗦먛귟_PRODUCT DETAIL Q1" xfId="1825"/>
    <cellStyle name="믅됞 [0.00]_PRODUCT DETAIL Q1" xfId="1826"/>
    <cellStyle name="믅됞_PRODUCT DETAIL Q1" xfId="1827"/>
    <cellStyle name="백분율_††††† " xfId="1828"/>
    <cellStyle name="뷭?_BOOKSHIP" xfId="1829"/>
    <cellStyle name="숫자(R)" xfId="1830"/>
    <cellStyle name="쉼표 [0]_FABTEC AIR USA PANT 230302" xfId="1831"/>
    <cellStyle name="쉼표_Sample plan" xfId="1832"/>
    <cellStyle name="자리수" xfId="1833"/>
    <cellStyle name="자리수0" xfId="1834"/>
    <cellStyle name="콤마 [ - 유형1" xfId="1835"/>
    <cellStyle name="콤마 [ - 유형2" xfId="1836"/>
    <cellStyle name="콤마 [ - 유형3" xfId="1837"/>
    <cellStyle name="콤마 [ - 유형4" xfId="1838"/>
    <cellStyle name="콤마 [ - 유형5" xfId="1839"/>
    <cellStyle name="콤마 [ - 유형6" xfId="1840"/>
    <cellStyle name="콤마 [ - 유형7" xfId="1841"/>
    <cellStyle name="콤마 [ - 유형8" xfId="1842"/>
    <cellStyle name="콤마 [0]_ 비목별 월별기술 " xfId="1843"/>
    <cellStyle name="콤마_ 비목별 월별기술 " xfId="1844"/>
    <cellStyle name="통화 [0]_(type)총괄" xfId="1845"/>
    <cellStyle name="통화_(type)총괄" xfId="1846"/>
    <cellStyle name="퍼센트" xfId="1847"/>
    <cellStyle name="표준_(type)총괄" xfId="1848"/>
    <cellStyle name="합산" xfId="1849"/>
    <cellStyle name="화폐기호" xfId="1850"/>
    <cellStyle name="화폐기호0" xfId="1851"/>
    <cellStyle name="一般_00Q3902REV.1" xfId="1852"/>
    <cellStyle name="千位[0]_pldt" xfId="1853"/>
    <cellStyle name="千位_pldt" xfId="1854"/>
    <cellStyle name="千位分隔_2002固定资产明细表" xfId="1855"/>
    <cellStyle name="千分位[0]_00Q3902REV.1" xfId="1856"/>
    <cellStyle name="千分位_00Q3902REV.1" xfId="1857"/>
    <cellStyle name="后继超级链接_销售公司-2002年报表体系（12.21）" xfId="1858"/>
    <cellStyle name="已瀏覽過的超連結" xfId="1859"/>
    <cellStyle name="常?_Sales Forecast - TCLVN" xfId="1860"/>
    <cellStyle name="常规 19" xfId="1892"/>
    <cellStyle name="常规 19 2" xfId="1896"/>
    <cellStyle name="常规 19 2 2" xfId="1909"/>
    <cellStyle name="常规 19 3" xfId="1907"/>
    <cellStyle name="常规 4" xfId="1897"/>
    <cellStyle name="常规_4403-200312" xfId="1861"/>
    <cellStyle name="桁区切り [0.00]_††††† " xfId="1862"/>
    <cellStyle name="桁区切り_††††† " xfId="1863"/>
    <cellStyle name="標準_(A1)BOQ " xfId="1864"/>
    <cellStyle name="貨幣 [0]_00Q3902REV.1" xfId="1865"/>
    <cellStyle name="貨幣[0]_BRE" xfId="1866"/>
    <cellStyle name="貨幣_00Q3902REV.1" xfId="1867"/>
    <cellStyle name="超级链接_销售公司-2002年报表体系（12.21）" xfId="1868"/>
    <cellStyle name="超連結" xfId="1869"/>
    <cellStyle name="超連結_x000f_" xfId="1870"/>
    <cellStyle name="超連結_x000d_" xfId="1871"/>
    <cellStyle name="超連結??汸" xfId="1872"/>
    <cellStyle name="超連結?w?" xfId="1873"/>
    <cellStyle name="超連結?潒?" xfId="1874"/>
    <cellStyle name="超連結♇⹡汸" xfId="1875"/>
    <cellStyle name="超連結⁷潒慭" xfId="1876"/>
    <cellStyle name="超連結敎w慭" xfId="1877"/>
    <cellStyle name="通貨 [0.00]_††††† " xfId="1878"/>
    <cellStyle name="通貨_††††† " xfId="1879"/>
    <cellStyle name="隨後的超連結" xfId="1880"/>
    <cellStyle name="隨後的超連結n_x0003_" xfId="1881"/>
    <cellStyle name="隨後的超連結n汸s?呃L" xfId="1882"/>
    <cellStyle name="隨後的超連結n汸s䱘呃L" xfId="1883"/>
    <cellStyle name="隨後的超連結s?呃L?R" xfId="1884"/>
    <cellStyle name="隨後的超連結s䱘呃L䄀R" xfId="1885"/>
    <cellStyle name="非表示" xfId="1886"/>
  </cellStyles>
  <dxfs count="0"/>
  <tableStyles count="0" defaultTableStyle="TableStyleMedium9" defaultPivotStyle="PivotStyleLight16"/>
  <colors>
    <mruColors>
      <color rgb="FFCCFF66"/>
      <color rgb="FF66FFCC"/>
      <color rgb="FF66CCFF"/>
      <color rgb="FF33CCFF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457760</xdr:colOff>
      <xdr:row>0</xdr:row>
      <xdr:rowOff>21291</xdr:rowOff>
    </xdr:from>
    <xdr:to>
      <xdr:col>9</xdr:col>
      <xdr:colOff>10028</xdr:colOff>
      <xdr:row>4</xdr:row>
      <xdr:rowOff>180976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5060" y="21291"/>
          <a:ext cx="1628718" cy="9216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opLeftCell="A10" zoomScale="130" zoomScaleNormal="130" workbookViewId="0">
      <selection activeCell="C10" sqref="C10"/>
    </sheetView>
  </sheetViews>
  <sheetFormatPr defaultRowHeight="15"/>
  <cols>
    <col min="1" max="1" width="5" style="2" customWidth="1"/>
    <col min="2" max="2" width="25.42578125" customWidth="1"/>
    <col min="3" max="3" width="16.5703125" customWidth="1"/>
    <col min="4" max="4" width="12.140625" customWidth="1"/>
    <col min="5" max="5" width="8.28515625" customWidth="1"/>
    <col min="6" max="6" width="7.140625" customWidth="1"/>
    <col min="7" max="7" width="8" customWidth="1"/>
    <col min="8" max="8" width="12.42578125" customWidth="1"/>
    <col min="9" max="9" width="12.28515625" bestFit="1" customWidth="1"/>
    <col min="257" max="257" width="5" customWidth="1"/>
    <col min="258" max="258" width="13" customWidth="1"/>
    <col min="259" max="259" width="30.5703125" customWidth="1"/>
    <col min="260" max="261" width="8.28515625" customWidth="1"/>
    <col min="262" max="262" width="8.140625" customWidth="1"/>
    <col min="263" max="263" width="10.140625" customWidth="1"/>
    <col min="264" max="264" width="10.85546875" customWidth="1"/>
    <col min="265" max="265" width="12.28515625" bestFit="1" customWidth="1"/>
    <col min="513" max="513" width="5" customWidth="1"/>
    <col min="514" max="514" width="13" customWidth="1"/>
    <col min="515" max="515" width="30.5703125" customWidth="1"/>
    <col min="516" max="517" width="8.28515625" customWidth="1"/>
    <col min="518" max="518" width="8.140625" customWidth="1"/>
    <col min="519" max="519" width="10.140625" customWidth="1"/>
    <col min="520" max="520" width="10.85546875" customWidth="1"/>
    <col min="521" max="521" width="12.28515625" bestFit="1" customWidth="1"/>
    <col min="769" max="769" width="5" customWidth="1"/>
    <col min="770" max="770" width="13" customWidth="1"/>
    <col min="771" max="771" width="30.5703125" customWidth="1"/>
    <col min="772" max="773" width="8.28515625" customWidth="1"/>
    <col min="774" max="774" width="8.140625" customWidth="1"/>
    <col min="775" max="775" width="10.140625" customWidth="1"/>
    <col min="776" max="776" width="10.85546875" customWidth="1"/>
    <col min="777" max="777" width="12.28515625" bestFit="1" customWidth="1"/>
    <col min="1025" max="1025" width="5" customWidth="1"/>
    <col min="1026" max="1026" width="13" customWidth="1"/>
    <col min="1027" max="1027" width="30.5703125" customWidth="1"/>
    <col min="1028" max="1029" width="8.28515625" customWidth="1"/>
    <col min="1030" max="1030" width="8.140625" customWidth="1"/>
    <col min="1031" max="1031" width="10.140625" customWidth="1"/>
    <col min="1032" max="1032" width="10.85546875" customWidth="1"/>
    <col min="1033" max="1033" width="12.28515625" bestFit="1" customWidth="1"/>
    <col min="1281" max="1281" width="5" customWidth="1"/>
    <col min="1282" max="1282" width="13" customWidth="1"/>
    <col min="1283" max="1283" width="30.5703125" customWidth="1"/>
    <col min="1284" max="1285" width="8.28515625" customWidth="1"/>
    <col min="1286" max="1286" width="8.140625" customWidth="1"/>
    <col min="1287" max="1287" width="10.140625" customWidth="1"/>
    <col min="1288" max="1288" width="10.85546875" customWidth="1"/>
    <col min="1289" max="1289" width="12.28515625" bestFit="1" customWidth="1"/>
    <col min="1537" max="1537" width="5" customWidth="1"/>
    <col min="1538" max="1538" width="13" customWidth="1"/>
    <col min="1539" max="1539" width="30.5703125" customWidth="1"/>
    <col min="1540" max="1541" width="8.28515625" customWidth="1"/>
    <col min="1542" max="1542" width="8.140625" customWidth="1"/>
    <col min="1543" max="1543" width="10.140625" customWidth="1"/>
    <col min="1544" max="1544" width="10.85546875" customWidth="1"/>
    <col min="1545" max="1545" width="12.28515625" bestFit="1" customWidth="1"/>
    <col min="1793" max="1793" width="5" customWidth="1"/>
    <col min="1794" max="1794" width="13" customWidth="1"/>
    <col min="1795" max="1795" width="30.5703125" customWidth="1"/>
    <col min="1796" max="1797" width="8.28515625" customWidth="1"/>
    <col min="1798" max="1798" width="8.140625" customWidth="1"/>
    <col min="1799" max="1799" width="10.140625" customWidth="1"/>
    <col min="1800" max="1800" width="10.85546875" customWidth="1"/>
    <col min="1801" max="1801" width="12.28515625" bestFit="1" customWidth="1"/>
    <col min="2049" max="2049" width="5" customWidth="1"/>
    <col min="2050" max="2050" width="13" customWidth="1"/>
    <col min="2051" max="2051" width="30.5703125" customWidth="1"/>
    <col min="2052" max="2053" width="8.28515625" customWidth="1"/>
    <col min="2054" max="2054" width="8.140625" customWidth="1"/>
    <col min="2055" max="2055" width="10.140625" customWidth="1"/>
    <col min="2056" max="2056" width="10.85546875" customWidth="1"/>
    <col min="2057" max="2057" width="12.28515625" bestFit="1" customWidth="1"/>
    <col min="2305" max="2305" width="5" customWidth="1"/>
    <col min="2306" max="2306" width="13" customWidth="1"/>
    <col min="2307" max="2307" width="30.5703125" customWidth="1"/>
    <col min="2308" max="2309" width="8.28515625" customWidth="1"/>
    <col min="2310" max="2310" width="8.140625" customWidth="1"/>
    <col min="2311" max="2311" width="10.140625" customWidth="1"/>
    <col min="2312" max="2312" width="10.85546875" customWidth="1"/>
    <col min="2313" max="2313" width="12.28515625" bestFit="1" customWidth="1"/>
    <col min="2561" max="2561" width="5" customWidth="1"/>
    <col min="2562" max="2562" width="13" customWidth="1"/>
    <col min="2563" max="2563" width="30.5703125" customWidth="1"/>
    <col min="2564" max="2565" width="8.28515625" customWidth="1"/>
    <col min="2566" max="2566" width="8.140625" customWidth="1"/>
    <col min="2567" max="2567" width="10.140625" customWidth="1"/>
    <col min="2568" max="2568" width="10.85546875" customWidth="1"/>
    <col min="2569" max="2569" width="12.28515625" bestFit="1" customWidth="1"/>
    <col min="2817" max="2817" width="5" customWidth="1"/>
    <col min="2818" max="2818" width="13" customWidth="1"/>
    <col min="2819" max="2819" width="30.5703125" customWidth="1"/>
    <col min="2820" max="2821" width="8.28515625" customWidth="1"/>
    <col min="2822" max="2822" width="8.140625" customWidth="1"/>
    <col min="2823" max="2823" width="10.140625" customWidth="1"/>
    <col min="2824" max="2824" width="10.85546875" customWidth="1"/>
    <col min="2825" max="2825" width="12.28515625" bestFit="1" customWidth="1"/>
    <col min="3073" max="3073" width="5" customWidth="1"/>
    <col min="3074" max="3074" width="13" customWidth="1"/>
    <col min="3075" max="3075" width="30.5703125" customWidth="1"/>
    <col min="3076" max="3077" width="8.28515625" customWidth="1"/>
    <col min="3078" max="3078" width="8.140625" customWidth="1"/>
    <col min="3079" max="3079" width="10.140625" customWidth="1"/>
    <col min="3080" max="3080" width="10.85546875" customWidth="1"/>
    <col min="3081" max="3081" width="12.28515625" bestFit="1" customWidth="1"/>
    <col min="3329" max="3329" width="5" customWidth="1"/>
    <col min="3330" max="3330" width="13" customWidth="1"/>
    <col min="3331" max="3331" width="30.5703125" customWidth="1"/>
    <col min="3332" max="3333" width="8.28515625" customWidth="1"/>
    <col min="3334" max="3334" width="8.140625" customWidth="1"/>
    <col min="3335" max="3335" width="10.140625" customWidth="1"/>
    <col min="3336" max="3336" width="10.85546875" customWidth="1"/>
    <col min="3337" max="3337" width="12.28515625" bestFit="1" customWidth="1"/>
    <col min="3585" max="3585" width="5" customWidth="1"/>
    <col min="3586" max="3586" width="13" customWidth="1"/>
    <col min="3587" max="3587" width="30.5703125" customWidth="1"/>
    <col min="3588" max="3589" width="8.28515625" customWidth="1"/>
    <col min="3590" max="3590" width="8.140625" customWidth="1"/>
    <col min="3591" max="3591" width="10.140625" customWidth="1"/>
    <col min="3592" max="3592" width="10.85546875" customWidth="1"/>
    <col min="3593" max="3593" width="12.28515625" bestFit="1" customWidth="1"/>
    <col min="3841" max="3841" width="5" customWidth="1"/>
    <col min="3842" max="3842" width="13" customWidth="1"/>
    <col min="3843" max="3843" width="30.5703125" customWidth="1"/>
    <col min="3844" max="3845" width="8.28515625" customWidth="1"/>
    <col min="3846" max="3846" width="8.140625" customWidth="1"/>
    <col min="3847" max="3847" width="10.140625" customWidth="1"/>
    <col min="3848" max="3848" width="10.85546875" customWidth="1"/>
    <col min="3849" max="3849" width="12.28515625" bestFit="1" customWidth="1"/>
    <col min="4097" max="4097" width="5" customWidth="1"/>
    <col min="4098" max="4098" width="13" customWidth="1"/>
    <col min="4099" max="4099" width="30.5703125" customWidth="1"/>
    <col min="4100" max="4101" width="8.28515625" customWidth="1"/>
    <col min="4102" max="4102" width="8.140625" customWidth="1"/>
    <col min="4103" max="4103" width="10.140625" customWidth="1"/>
    <col min="4104" max="4104" width="10.85546875" customWidth="1"/>
    <col min="4105" max="4105" width="12.28515625" bestFit="1" customWidth="1"/>
    <col min="4353" max="4353" width="5" customWidth="1"/>
    <col min="4354" max="4354" width="13" customWidth="1"/>
    <col min="4355" max="4355" width="30.5703125" customWidth="1"/>
    <col min="4356" max="4357" width="8.28515625" customWidth="1"/>
    <col min="4358" max="4358" width="8.140625" customWidth="1"/>
    <col min="4359" max="4359" width="10.140625" customWidth="1"/>
    <col min="4360" max="4360" width="10.85546875" customWidth="1"/>
    <col min="4361" max="4361" width="12.28515625" bestFit="1" customWidth="1"/>
    <col min="4609" max="4609" width="5" customWidth="1"/>
    <col min="4610" max="4610" width="13" customWidth="1"/>
    <col min="4611" max="4611" width="30.5703125" customWidth="1"/>
    <col min="4612" max="4613" width="8.28515625" customWidth="1"/>
    <col min="4614" max="4614" width="8.140625" customWidth="1"/>
    <col min="4615" max="4615" width="10.140625" customWidth="1"/>
    <col min="4616" max="4616" width="10.85546875" customWidth="1"/>
    <col min="4617" max="4617" width="12.28515625" bestFit="1" customWidth="1"/>
    <col min="4865" max="4865" width="5" customWidth="1"/>
    <col min="4866" max="4866" width="13" customWidth="1"/>
    <col min="4867" max="4867" width="30.5703125" customWidth="1"/>
    <col min="4868" max="4869" width="8.28515625" customWidth="1"/>
    <col min="4870" max="4870" width="8.140625" customWidth="1"/>
    <col min="4871" max="4871" width="10.140625" customWidth="1"/>
    <col min="4872" max="4872" width="10.85546875" customWidth="1"/>
    <col min="4873" max="4873" width="12.28515625" bestFit="1" customWidth="1"/>
    <col min="5121" max="5121" width="5" customWidth="1"/>
    <col min="5122" max="5122" width="13" customWidth="1"/>
    <col min="5123" max="5123" width="30.5703125" customWidth="1"/>
    <col min="5124" max="5125" width="8.28515625" customWidth="1"/>
    <col min="5126" max="5126" width="8.140625" customWidth="1"/>
    <col min="5127" max="5127" width="10.140625" customWidth="1"/>
    <col min="5128" max="5128" width="10.85546875" customWidth="1"/>
    <col min="5129" max="5129" width="12.28515625" bestFit="1" customWidth="1"/>
    <col min="5377" max="5377" width="5" customWidth="1"/>
    <col min="5378" max="5378" width="13" customWidth="1"/>
    <col min="5379" max="5379" width="30.5703125" customWidth="1"/>
    <col min="5380" max="5381" width="8.28515625" customWidth="1"/>
    <col min="5382" max="5382" width="8.140625" customWidth="1"/>
    <col min="5383" max="5383" width="10.140625" customWidth="1"/>
    <col min="5384" max="5384" width="10.85546875" customWidth="1"/>
    <col min="5385" max="5385" width="12.28515625" bestFit="1" customWidth="1"/>
    <col min="5633" max="5633" width="5" customWidth="1"/>
    <col min="5634" max="5634" width="13" customWidth="1"/>
    <col min="5635" max="5635" width="30.5703125" customWidth="1"/>
    <col min="5636" max="5637" width="8.28515625" customWidth="1"/>
    <col min="5638" max="5638" width="8.140625" customWidth="1"/>
    <col min="5639" max="5639" width="10.140625" customWidth="1"/>
    <col min="5640" max="5640" width="10.85546875" customWidth="1"/>
    <col min="5641" max="5641" width="12.28515625" bestFit="1" customWidth="1"/>
    <col min="5889" max="5889" width="5" customWidth="1"/>
    <col min="5890" max="5890" width="13" customWidth="1"/>
    <col min="5891" max="5891" width="30.5703125" customWidth="1"/>
    <col min="5892" max="5893" width="8.28515625" customWidth="1"/>
    <col min="5894" max="5894" width="8.140625" customWidth="1"/>
    <col min="5895" max="5895" width="10.140625" customWidth="1"/>
    <col min="5896" max="5896" width="10.85546875" customWidth="1"/>
    <col min="5897" max="5897" width="12.28515625" bestFit="1" customWidth="1"/>
    <col min="6145" max="6145" width="5" customWidth="1"/>
    <col min="6146" max="6146" width="13" customWidth="1"/>
    <col min="6147" max="6147" width="30.5703125" customWidth="1"/>
    <col min="6148" max="6149" width="8.28515625" customWidth="1"/>
    <col min="6150" max="6150" width="8.140625" customWidth="1"/>
    <col min="6151" max="6151" width="10.140625" customWidth="1"/>
    <col min="6152" max="6152" width="10.85546875" customWidth="1"/>
    <col min="6153" max="6153" width="12.28515625" bestFit="1" customWidth="1"/>
    <col min="6401" max="6401" width="5" customWidth="1"/>
    <col min="6402" max="6402" width="13" customWidth="1"/>
    <col min="6403" max="6403" width="30.5703125" customWidth="1"/>
    <col min="6404" max="6405" width="8.28515625" customWidth="1"/>
    <col min="6406" max="6406" width="8.140625" customWidth="1"/>
    <col min="6407" max="6407" width="10.140625" customWidth="1"/>
    <col min="6408" max="6408" width="10.85546875" customWidth="1"/>
    <col min="6409" max="6409" width="12.28515625" bestFit="1" customWidth="1"/>
    <col min="6657" max="6657" width="5" customWidth="1"/>
    <col min="6658" max="6658" width="13" customWidth="1"/>
    <col min="6659" max="6659" width="30.5703125" customWidth="1"/>
    <col min="6660" max="6661" width="8.28515625" customWidth="1"/>
    <col min="6662" max="6662" width="8.140625" customWidth="1"/>
    <col min="6663" max="6663" width="10.140625" customWidth="1"/>
    <col min="6664" max="6664" width="10.85546875" customWidth="1"/>
    <col min="6665" max="6665" width="12.28515625" bestFit="1" customWidth="1"/>
    <col min="6913" max="6913" width="5" customWidth="1"/>
    <col min="6914" max="6914" width="13" customWidth="1"/>
    <col min="6915" max="6915" width="30.5703125" customWidth="1"/>
    <col min="6916" max="6917" width="8.28515625" customWidth="1"/>
    <col min="6918" max="6918" width="8.140625" customWidth="1"/>
    <col min="6919" max="6919" width="10.140625" customWidth="1"/>
    <col min="6920" max="6920" width="10.85546875" customWidth="1"/>
    <col min="6921" max="6921" width="12.28515625" bestFit="1" customWidth="1"/>
    <col min="7169" max="7169" width="5" customWidth="1"/>
    <col min="7170" max="7170" width="13" customWidth="1"/>
    <col min="7171" max="7171" width="30.5703125" customWidth="1"/>
    <col min="7172" max="7173" width="8.28515625" customWidth="1"/>
    <col min="7174" max="7174" width="8.140625" customWidth="1"/>
    <col min="7175" max="7175" width="10.140625" customWidth="1"/>
    <col min="7176" max="7176" width="10.85546875" customWidth="1"/>
    <col min="7177" max="7177" width="12.28515625" bestFit="1" customWidth="1"/>
    <col min="7425" max="7425" width="5" customWidth="1"/>
    <col min="7426" max="7426" width="13" customWidth="1"/>
    <col min="7427" max="7427" width="30.5703125" customWidth="1"/>
    <col min="7428" max="7429" width="8.28515625" customWidth="1"/>
    <col min="7430" max="7430" width="8.140625" customWidth="1"/>
    <col min="7431" max="7431" width="10.140625" customWidth="1"/>
    <col min="7432" max="7432" width="10.85546875" customWidth="1"/>
    <col min="7433" max="7433" width="12.28515625" bestFit="1" customWidth="1"/>
    <col min="7681" max="7681" width="5" customWidth="1"/>
    <col min="7682" max="7682" width="13" customWidth="1"/>
    <col min="7683" max="7683" width="30.5703125" customWidth="1"/>
    <col min="7684" max="7685" width="8.28515625" customWidth="1"/>
    <col min="7686" max="7686" width="8.140625" customWidth="1"/>
    <col min="7687" max="7687" width="10.140625" customWidth="1"/>
    <col min="7688" max="7688" width="10.85546875" customWidth="1"/>
    <col min="7689" max="7689" width="12.28515625" bestFit="1" customWidth="1"/>
    <col min="7937" max="7937" width="5" customWidth="1"/>
    <col min="7938" max="7938" width="13" customWidth="1"/>
    <col min="7939" max="7939" width="30.5703125" customWidth="1"/>
    <col min="7940" max="7941" width="8.28515625" customWidth="1"/>
    <col min="7942" max="7942" width="8.140625" customWidth="1"/>
    <col min="7943" max="7943" width="10.140625" customWidth="1"/>
    <col min="7944" max="7944" width="10.85546875" customWidth="1"/>
    <col min="7945" max="7945" width="12.28515625" bestFit="1" customWidth="1"/>
    <col min="8193" max="8193" width="5" customWidth="1"/>
    <col min="8194" max="8194" width="13" customWidth="1"/>
    <col min="8195" max="8195" width="30.5703125" customWidth="1"/>
    <col min="8196" max="8197" width="8.28515625" customWidth="1"/>
    <col min="8198" max="8198" width="8.140625" customWidth="1"/>
    <col min="8199" max="8199" width="10.140625" customWidth="1"/>
    <col min="8200" max="8200" width="10.85546875" customWidth="1"/>
    <col min="8201" max="8201" width="12.28515625" bestFit="1" customWidth="1"/>
    <col min="8449" max="8449" width="5" customWidth="1"/>
    <col min="8450" max="8450" width="13" customWidth="1"/>
    <col min="8451" max="8451" width="30.5703125" customWidth="1"/>
    <col min="8452" max="8453" width="8.28515625" customWidth="1"/>
    <col min="8454" max="8454" width="8.140625" customWidth="1"/>
    <col min="8455" max="8455" width="10.140625" customWidth="1"/>
    <col min="8456" max="8456" width="10.85546875" customWidth="1"/>
    <col min="8457" max="8457" width="12.28515625" bestFit="1" customWidth="1"/>
    <col min="8705" max="8705" width="5" customWidth="1"/>
    <col min="8706" max="8706" width="13" customWidth="1"/>
    <col min="8707" max="8707" width="30.5703125" customWidth="1"/>
    <col min="8708" max="8709" width="8.28515625" customWidth="1"/>
    <col min="8710" max="8710" width="8.140625" customWidth="1"/>
    <col min="8711" max="8711" width="10.140625" customWidth="1"/>
    <col min="8712" max="8712" width="10.85546875" customWidth="1"/>
    <col min="8713" max="8713" width="12.28515625" bestFit="1" customWidth="1"/>
    <col min="8961" max="8961" width="5" customWidth="1"/>
    <col min="8962" max="8962" width="13" customWidth="1"/>
    <col min="8963" max="8963" width="30.5703125" customWidth="1"/>
    <col min="8964" max="8965" width="8.28515625" customWidth="1"/>
    <col min="8966" max="8966" width="8.140625" customWidth="1"/>
    <col min="8967" max="8967" width="10.140625" customWidth="1"/>
    <col min="8968" max="8968" width="10.85546875" customWidth="1"/>
    <col min="8969" max="8969" width="12.28515625" bestFit="1" customWidth="1"/>
    <col min="9217" max="9217" width="5" customWidth="1"/>
    <col min="9218" max="9218" width="13" customWidth="1"/>
    <col min="9219" max="9219" width="30.5703125" customWidth="1"/>
    <col min="9220" max="9221" width="8.28515625" customWidth="1"/>
    <col min="9222" max="9222" width="8.140625" customWidth="1"/>
    <col min="9223" max="9223" width="10.140625" customWidth="1"/>
    <col min="9224" max="9224" width="10.85546875" customWidth="1"/>
    <col min="9225" max="9225" width="12.28515625" bestFit="1" customWidth="1"/>
    <col min="9473" max="9473" width="5" customWidth="1"/>
    <col min="9474" max="9474" width="13" customWidth="1"/>
    <col min="9475" max="9475" width="30.5703125" customWidth="1"/>
    <col min="9476" max="9477" width="8.28515625" customWidth="1"/>
    <col min="9478" max="9478" width="8.140625" customWidth="1"/>
    <col min="9479" max="9479" width="10.140625" customWidth="1"/>
    <col min="9480" max="9480" width="10.85546875" customWidth="1"/>
    <col min="9481" max="9481" width="12.28515625" bestFit="1" customWidth="1"/>
    <col min="9729" max="9729" width="5" customWidth="1"/>
    <col min="9730" max="9730" width="13" customWidth="1"/>
    <col min="9731" max="9731" width="30.5703125" customWidth="1"/>
    <col min="9732" max="9733" width="8.28515625" customWidth="1"/>
    <col min="9734" max="9734" width="8.140625" customWidth="1"/>
    <col min="9735" max="9735" width="10.140625" customWidth="1"/>
    <col min="9736" max="9736" width="10.85546875" customWidth="1"/>
    <col min="9737" max="9737" width="12.28515625" bestFit="1" customWidth="1"/>
    <col min="9985" max="9985" width="5" customWidth="1"/>
    <col min="9986" max="9986" width="13" customWidth="1"/>
    <col min="9987" max="9987" width="30.5703125" customWidth="1"/>
    <col min="9988" max="9989" width="8.28515625" customWidth="1"/>
    <col min="9990" max="9990" width="8.140625" customWidth="1"/>
    <col min="9991" max="9991" width="10.140625" customWidth="1"/>
    <col min="9992" max="9992" width="10.85546875" customWidth="1"/>
    <col min="9993" max="9993" width="12.28515625" bestFit="1" customWidth="1"/>
    <col min="10241" max="10241" width="5" customWidth="1"/>
    <col min="10242" max="10242" width="13" customWidth="1"/>
    <col min="10243" max="10243" width="30.5703125" customWidth="1"/>
    <col min="10244" max="10245" width="8.28515625" customWidth="1"/>
    <col min="10246" max="10246" width="8.140625" customWidth="1"/>
    <col min="10247" max="10247" width="10.140625" customWidth="1"/>
    <col min="10248" max="10248" width="10.85546875" customWidth="1"/>
    <col min="10249" max="10249" width="12.28515625" bestFit="1" customWidth="1"/>
    <col min="10497" max="10497" width="5" customWidth="1"/>
    <col min="10498" max="10498" width="13" customWidth="1"/>
    <col min="10499" max="10499" width="30.5703125" customWidth="1"/>
    <col min="10500" max="10501" width="8.28515625" customWidth="1"/>
    <col min="10502" max="10502" width="8.140625" customWidth="1"/>
    <col min="10503" max="10503" width="10.140625" customWidth="1"/>
    <col min="10504" max="10504" width="10.85546875" customWidth="1"/>
    <col min="10505" max="10505" width="12.28515625" bestFit="1" customWidth="1"/>
    <col min="10753" max="10753" width="5" customWidth="1"/>
    <col min="10754" max="10754" width="13" customWidth="1"/>
    <col min="10755" max="10755" width="30.5703125" customWidth="1"/>
    <col min="10756" max="10757" width="8.28515625" customWidth="1"/>
    <col min="10758" max="10758" width="8.140625" customWidth="1"/>
    <col min="10759" max="10759" width="10.140625" customWidth="1"/>
    <col min="10760" max="10760" width="10.85546875" customWidth="1"/>
    <col min="10761" max="10761" width="12.28515625" bestFit="1" customWidth="1"/>
    <col min="11009" max="11009" width="5" customWidth="1"/>
    <col min="11010" max="11010" width="13" customWidth="1"/>
    <col min="11011" max="11011" width="30.5703125" customWidth="1"/>
    <col min="11012" max="11013" width="8.28515625" customWidth="1"/>
    <col min="11014" max="11014" width="8.140625" customWidth="1"/>
    <col min="11015" max="11015" width="10.140625" customWidth="1"/>
    <col min="11016" max="11016" width="10.85546875" customWidth="1"/>
    <col min="11017" max="11017" width="12.28515625" bestFit="1" customWidth="1"/>
    <col min="11265" max="11265" width="5" customWidth="1"/>
    <col min="11266" max="11266" width="13" customWidth="1"/>
    <col min="11267" max="11267" width="30.5703125" customWidth="1"/>
    <col min="11268" max="11269" width="8.28515625" customWidth="1"/>
    <col min="11270" max="11270" width="8.140625" customWidth="1"/>
    <col min="11271" max="11271" width="10.140625" customWidth="1"/>
    <col min="11272" max="11272" width="10.85546875" customWidth="1"/>
    <col min="11273" max="11273" width="12.28515625" bestFit="1" customWidth="1"/>
    <col min="11521" max="11521" width="5" customWidth="1"/>
    <col min="11522" max="11522" width="13" customWidth="1"/>
    <col min="11523" max="11523" width="30.5703125" customWidth="1"/>
    <col min="11524" max="11525" width="8.28515625" customWidth="1"/>
    <col min="11526" max="11526" width="8.140625" customWidth="1"/>
    <col min="11527" max="11527" width="10.140625" customWidth="1"/>
    <col min="11528" max="11528" width="10.85546875" customWidth="1"/>
    <col min="11529" max="11529" width="12.28515625" bestFit="1" customWidth="1"/>
    <col min="11777" max="11777" width="5" customWidth="1"/>
    <col min="11778" max="11778" width="13" customWidth="1"/>
    <col min="11779" max="11779" width="30.5703125" customWidth="1"/>
    <col min="11780" max="11781" width="8.28515625" customWidth="1"/>
    <col min="11782" max="11782" width="8.140625" customWidth="1"/>
    <col min="11783" max="11783" width="10.140625" customWidth="1"/>
    <col min="11784" max="11784" width="10.85546875" customWidth="1"/>
    <col min="11785" max="11785" width="12.28515625" bestFit="1" customWidth="1"/>
    <col min="12033" max="12033" width="5" customWidth="1"/>
    <col min="12034" max="12034" width="13" customWidth="1"/>
    <col min="12035" max="12035" width="30.5703125" customWidth="1"/>
    <col min="12036" max="12037" width="8.28515625" customWidth="1"/>
    <col min="12038" max="12038" width="8.140625" customWidth="1"/>
    <col min="12039" max="12039" width="10.140625" customWidth="1"/>
    <col min="12040" max="12040" width="10.85546875" customWidth="1"/>
    <col min="12041" max="12041" width="12.28515625" bestFit="1" customWidth="1"/>
    <col min="12289" max="12289" width="5" customWidth="1"/>
    <col min="12290" max="12290" width="13" customWidth="1"/>
    <col min="12291" max="12291" width="30.5703125" customWidth="1"/>
    <col min="12292" max="12293" width="8.28515625" customWidth="1"/>
    <col min="12294" max="12294" width="8.140625" customWidth="1"/>
    <col min="12295" max="12295" width="10.140625" customWidth="1"/>
    <col min="12296" max="12296" width="10.85546875" customWidth="1"/>
    <col min="12297" max="12297" width="12.28515625" bestFit="1" customWidth="1"/>
    <col min="12545" max="12545" width="5" customWidth="1"/>
    <col min="12546" max="12546" width="13" customWidth="1"/>
    <col min="12547" max="12547" width="30.5703125" customWidth="1"/>
    <col min="12548" max="12549" width="8.28515625" customWidth="1"/>
    <col min="12550" max="12550" width="8.140625" customWidth="1"/>
    <col min="12551" max="12551" width="10.140625" customWidth="1"/>
    <col min="12552" max="12552" width="10.85546875" customWidth="1"/>
    <col min="12553" max="12553" width="12.28515625" bestFit="1" customWidth="1"/>
    <col min="12801" max="12801" width="5" customWidth="1"/>
    <col min="12802" max="12802" width="13" customWidth="1"/>
    <col min="12803" max="12803" width="30.5703125" customWidth="1"/>
    <col min="12804" max="12805" width="8.28515625" customWidth="1"/>
    <col min="12806" max="12806" width="8.140625" customWidth="1"/>
    <col min="12807" max="12807" width="10.140625" customWidth="1"/>
    <col min="12808" max="12808" width="10.85546875" customWidth="1"/>
    <col min="12809" max="12809" width="12.28515625" bestFit="1" customWidth="1"/>
    <col min="13057" max="13057" width="5" customWidth="1"/>
    <col min="13058" max="13058" width="13" customWidth="1"/>
    <col min="13059" max="13059" width="30.5703125" customWidth="1"/>
    <col min="13060" max="13061" width="8.28515625" customWidth="1"/>
    <col min="13062" max="13062" width="8.140625" customWidth="1"/>
    <col min="13063" max="13063" width="10.140625" customWidth="1"/>
    <col min="13064" max="13064" width="10.85546875" customWidth="1"/>
    <col min="13065" max="13065" width="12.28515625" bestFit="1" customWidth="1"/>
    <col min="13313" max="13313" width="5" customWidth="1"/>
    <col min="13314" max="13314" width="13" customWidth="1"/>
    <col min="13315" max="13315" width="30.5703125" customWidth="1"/>
    <col min="13316" max="13317" width="8.28515625" customWidth="1"/>
    <col min="13318" max="13318" width="8.140625" customWidth="1"/>
    <col min="13319" max="13319" width="10.140625" customWidth="1"/>
    <col min="13320" max="13320" width="10.85546875" customWidth="1"/>
    <col min="13321" max="13321" width="12.28515625" bestFit="1" customWidth="1"/>
    <col min="13569" max="13569" width="5" customWidth="1"/>
    <col min="13570" max="13570" width="13" customWidth="1"/>
    <col min="13571" max="13571" width="30.5703125" customWidth="1"/>
    <col min="13572" max="13573" width="8.28515625" customWidth="1"/>
    <col min="13574" max="13574" width="8.140625" customWidth="1"/>
    <col min="13575" max="13575" width="10.140625" customWidth="1"/>
    <col min="13576" max="13576" width="10.85546875" customWidth="1"/>
    <col min="13577" max="13577" width="12.28515625" bestFit="1" customWidth="1"/>
    <col min="13825" max="13825" width="5" customWidth="1"/>
    <col min="13826" max="13826" width="13" customWidth="1"/>
    <col min="13827" max="13827" width="30.5703125" customWidth="1"/>
    <col min="13828" max="13829" width="8.28515625" customWidth="1"/>
    <col min="13830" max="13830" width="8.140625" customWidth="1"/>
    <col min="13831" max="13831" width="10.140625" customWidth="1"/>
    <col min="13832" max="13832" width="10.85546875" customWidth="1"/>
    <col min="13833" max="13833" width="12.28515625" bestFit="1" customWidth="1"/>
    <col min="14081" max="14081" width="5" customWidth="1"/>
    <col min="14082" max="14082" width="13" customWidth="1"/>
    <col min="14083" max="14083" width="30.5703125" customWidth="1"/>
    <col min="14084" max="14085" width="8.28515625" customWidth="1"/>
    <col min="14086" max="14086" width="8.140625" customWidth="1"/>
    <col min="14087" max="14087" width="10.140625" customWidth="1"/>
    <col min="14088" max="14088" width="10.85546875" customWidth="1"/>
    <col min="14089" max="14089" width="12.28515625" bestFit="1" customWidth="1"/>
    <col min="14337" max="14337" width="5" customWidth="1"/>
    <col min="14338" max="14338" width="13" customWidth="1"/>
    <col min="14339" max="14339" width="30.5703125" customWidth="1"/>
    <col min="14340" max="14341" width="8.28515625" customWidth="1"/>
    <col min="14342" max="14342" width="8.140625" customWidth="1"/>
    <col min="14343" max="14343" width="10.140625" customWidth="1"/>
    <col min="14344" max="14344" width="10.85546875" customWidth="1"/>
    <col min="14345" max="14345" width="12.28515625" bestFit="1" customWidth="1"/>
    <col min="14593" max="14593" width="5" customWidth="1"/>
    <col min="14594" max="14594" width="13" customWidth="1"/>
    <col min="14595" max="14595" width="30.5703125" customWidth="1"/>
    <col min="14596" max="14597" width="8.28515625" customWidth="1"/>
    <col min="14598" max="14598" width="8.140625" customWidth="1"/>
    <col min="14599" max="14599" width="10.140625" customWidth="1"/>
    <col min="14600" max="14600" width="10.85546875" customWidth="1"/>
    <col min="14601" max="14601" width="12.28515625" bestFit="1" customWidth="1"/>
    <col min="14849" max="14849" width="5" customWidth="1"/>
    <col min="14850" max="14850" width="13" customWidth="1"/>
    <col min="14851" max="14851" width="30.5703125" customWidth="1"/>
    <col min="14852" max="14853" width="8.28515625" customWidth="1"/>
    <col min="14854" max="14854" width="8.140625" customWidth="1"/>
    <col min="14855" max="14855" width="10.140625" customWidth="1"/>
    <col min="14856" max="14856" width="10.85546875" customWidth="1"/>
    <col min="14857" max="14857" width="12.28515625" bestFit="1" customWidth="1"/>
    <col min="15105" max="15105" width="5" customWidth="1"/>
    <col min="15106" max="15106" width="13" customWidth="1"/>
    <col min="15107" max="15107" width="30.5703125" customWidth="1"/>
    <col min="15108" max="15109" width="8.28515625" customWidth="1"/>
    <col min="15110" max="15110" width="8.140625" customWidth="1"/>
    <col min="15111" max="15111" width="10.140625" customWidth="1"/>
    <col min="15112" max="15112" width="10.85546875" customWidth="1"/>
    <col min="15113" max="15113" width="12.28515625" bestFit="1" customWidth="1"/>
    <col min="15361" max="15361" width="5" customWidth="1"/>
    <col min="15362" max="15362" width="13" customWidth="1"/>
    <col min="15363" max="15363" width="30.5703125" customWidth="1"/>
    <col min="15364" max="15365" width="8.28515625" customWidth="1"/>
    <col min="15366" max="15366" width="8.140625" customWidth="1"/>
    <col min="15367" max="15367" width="10.140625" customWidth="1"/>
    <col min="15368" max="15368" width="10.85546875" customWidth="1"/>
    <col min="15369" max="15369" width="12.28515625" bestFit="1" customWidth="1"/>
    <col min="15617" max="15617" width="5" customWidth="1"/>
    <col min="15618" max="15618" width="13" customWidth="1"/>
    <col min="15619" max="15619" width="30.5703125" customWidth="1"/>
    <col min="15620" max="15621" width="8.28515625" customWidth="1"/>
    <col min="15622" max="15622" width="8.140625" customWidth="1"/>
    <col min="15623" max="15623" width="10.140625" customWidth="1"/>
    <col min="15624" max="15624" width="10.85546875" customWidth="1"/>
    <col min="15625" max="15625" width="12.28515625" bestFit="1" customWidth="1"/>
    <col min="15873" max="15873" width="5" customWidth="1"/>
    <col min="15874" max="15874" width="13" customWidth="1"/>
    <col min="15875" max="15875" width="30.5703125" customWidth="1"/>
    <col min="15876" max="15877" width="8.28515625" customWidth="1"/>
    <col min="15878" max="15878" width="8.140625" customWidth="1"/>
    <col min="15879" max="15879" width="10.140625" customWidth="1"/>
    <col min="15880" max="15880" width="10.85546875" customWidth="1"/>
    <col min="15881" max="15881" width="12.28515625" bestFit="1" customWidth="1"/>
    <col min="16129" max="16129" width="5" customWidth="1"/>
    <col min="16130" max="16130" width="13" customWidth="1"/>
    <col min="16131" max="16131" width="30.5703125" customWidth="1"/>
    <col min="16132" max="16133" width="8.28515625" customWidth="1"/>
    <col min="16134" max="16134" width="8.140625" customWidth="1"/>
    <col min="16135" max="16135" width="10.140625" customWidth="1"/>
    <col min="16136" max="16136" width="10.85546875" customWidth="1"/>
    <col min="16137" max="16137" width="12.28515625" bestFit="1" customWidth="1"/>
  </cols>
  <sheetData>
    <row r="1" spans="1:8" ht="25.5" customHeight="1">
      <c r="A1" s="94" t="s">
        <v>198</v>
      </c>
      <c r="B1" s="94"/>
      <c r="C1" s="94"/>
      <c r="D1" s="94"/>
      <c r="E1" s="94"/>
      <c r="F1" s="94"/>
      <c r="G1" s="94"/>
    </row>
    <row r="2" spans="1:8" ht="21.75" customHeight="1">
      <c r="A2" s="7"/>
      <c r="B2" s="95" t="s">
        <v>199</v>
      </c>
      <c r="C2" s="95"/>
      <c r="D2" s="95"/>
      <c r="E2" s="95"/>
      <c r="F2" s="95"/>
      <c r="G2" s="95"/>
    </row>
    <row r="3" spans="1:8" s="5" customFormat="1" ht="23.25" customHeight="1">
      <c r="A3" s="15" t="s">
        <v>141</v>
      </c>
    </row>
    <row r="4" spans="1:8" s="5" customFormat="1" ht="23.25" customHeight="1">
      <c r="A4" s="15" t="s">
        <v>142</v>
      </c>
    </row>
    <row r="5" spans="1:8" s="5" customFormat="1" ht="23.25" customHeight="1">
      <c r="A5" s="15" t="s">
        <v>5</v>
      </c>
    </row>
    <row r="6" spans="1:8" s="5" customFormat="1" ht="23.25" customHeight="1">
      <c r="A6" s="16" t="s">
        <v>139</v>
      </c>
      <c r="B6" s="17"/>
    </row>
    <row r="7" spans="1:8" s="5" customFormat="1" ht="23.25" customHeight="1">
      <c r="A7" s="15" t="s">
        <v>200</v>
      </c>
    </row>
    <row r="8" spans="1:8" s="2" customFormat="1" ht="9.75" customHeight="1">
      <c r="A8" s="7"/>
      <c r="B8" s="7"/>
      <c r="C8" s="7"/>
      <c r="D8" s="7"/>
      <c r="E8" s="7"/>
      <c r="F8" s="7"/>
      <c r="G8" s="8"/>
    </row>
    <row r="9" spans="1:8" ht="43.5" customHeight="1">
      <c r="A9" s="18" t="s">
        <v>0</v>
      </c>
      <c r="B9" s="18" t="s">
        <v>1</v>
      </c>
      <c r="C9" s="18" t="s">
        <v>9</v>
      </c>
      <c r="D9" s="18" t="s">
        <v>7</v>
      </c>
      <c r="E9" s="19" t="s">
        <v>2</v>
      </c>
      <c r="F9" s="19" t="s">
        <v>3</v>
      </c>
      <c r="G9" s="19" t="s">
        <v>6</v>
      </c>
      <c r="H9" s="19" t="s">
        <v>45</v>
      </c>
    </row>
    <row r="10" spans="1:8" ht="33.75" customHeight="1">
      <c r="A10" s="78">
        <v>1</v>
      </c>
      <c r="B10" s="85" t="s">
        <v>84</v>
      </c>
      <c r="C10" s="85" t="s">
        <v>85</v>
      </c>
      <c r="D10" s="78">
        <v>1.4770000000000001</v>
      </c>
      <c r="E10" s="79" t="s">
        <v>86</v>
      </c>
      <c r="F10" s="80">
        <v>10</v>
      </c>
      <c r="G10" s="79">
        <f>F10*6*D10</f>
        <v>88.62</v>
      </c>
      <c r="H10" s="80"/>
    </row>
    <row r="11" spans="1:8" ht="33.75" customHeight="1">
      <c r="A11" s="78">
        <v>2</v>
      </c>
      <c r="B11" s="86" t="s">
        <v>88</v>
      </c>
      <c r="C11" s="85" t="s">
        <v>87</v>
      </c>
      <c r="D11" s="78">
        <v>1.8129999999999999</v>
      </c>
      <c r="E11" s="79" t="s">
        <v>86</v>
      </c>
      <c r="F11" s="80">
        <v>6</v>
      </c>
      <c r="G11" s="79">
        <f t="shared" ref="G11:G23" si="0">F11*6*D11</f>
        <v>65.268000000000001</v>
      </c>
      <c r="H11" s="80"/>
    </row>
    <row r="12" spans="1:8" ht="33.75" customHeight="1">
      <c r="A12" s="78">
        <v>3</v>
      </c>
      <c r="B12" s="86" t="s">
        <v>94</v>
      </c>
      <c r="C12" s="87" t="s">
        <v>93</v>
      </c>
      <c r="D12" s="81">
        <v>0.41499999999999998</v>
      </c>
      <c r="E12" s="79" t="s">
        <v>86</v>
      </c>
      <c r="F12" s="80">
        <v>10</v>
      </c>
      <c r="G12" s="79">
        <f t="shared" si="0"/>
        <v>24.9</v>
      </c>
      <c r="H12" s="80"/>
    </row>
    <row r="13" spans="1:8" ht="33.75" customHeight="1">
      <c r="A13" s="78">
        <v>4</v>
      </c>
      <c r="B13" s="78" t="s">
        <v>107</v>
      </c>
      <c r="C13" s="78" t="s">
        <v>108</v>
      </c>
      <c r="D13" s="81">
        <v>0.443</v>
      </c>
      <c r="E13" s="79" t="s">
        <v>86</v>
      </c>
      <c r="F13" s="80">
        <v>10</v>
      </c>
      <c r="G13" s="79">
        <f t="shared" si="0"/>
        <v>26.580000000000002</v>
      </c>
      <c r="H13" s="80"/>
    </row>
    <row r="14" spans="1:8" ht="33.75" customHeight="1">
      <c r="A14" s="78">
        <v>5</v>
      </c>
      <c r="B14" s="78" t="s">
        <v>111</v>
      </c>
      <c r="C14" s="78" t="s">
        <v>112</v>
      </c>
      <c r="D14" s="81">
        <v>0.22</v>
      </c>
      <c r="E14" s="79" t="s">
        <v>86</v>
      </c>
      <c r="F14" s="80">
        <v>20</v>
      </c>
      <c r="G14" s="79">
        <f t="shared" si="0"/>
        <v>26.4</v>
      </c>
      <c r="H14" s="80"/>
    </row>
    <row r="15" spans="1:8" ht="33.75" customHeight="1">
      <c r="A15" s="78">
        <v>6</v>
      </c>
      <c r="B15" s="78" t="s">
        <v>113</v>
      </c>
      <c r="C15" s="78" t="s">
        <v>114</v>
      </c>
      <c r="D15" s="81">
        <v>0.2</v>
      </c>
      <c r="E15" s="79" t="s">
        <v>86</v>
      </c>
      <c r="F15" s="80">
        <v>20</v>
      </c>
      <c r="G15" s="79">
        <f t="shared" si="0"/>
        <v>24</v>
      </c>
      <c r="H15" s="80"/>
    </row>
    <row r="16" spans="1:8" ht="33.75" customHeight="1">
      <c r="A16" s="78">
        <v>7</v>
      </c>
      <c r="B16" s="78" t="s">
        <v>115</v>
      </c>
      <c r="C16" s="78" t="s">
        <v>116</v>
      </c>
      <c r="D16" s="81">
        <v>0.80500000000000005</v>
      </c>
      <c r="E16" s="79" t="s">
        <v>86</v>
      </c>
      <c r="F16" s="80">
        <v>20</v>
      </c>
      <c r="G16" s="79">
        <f t="shared" si="0"/>
        <v>96.600000000000009</v>
      </c>
      <c r="H16" s="80"/>
    </row>
    <row r="17" spans="1:11" ht="33.75" customHeight="1">
      <c r="A17" s="78">
        <v>8</v>
      </c>
      <c r="B17" s="78" t="s">
        <v>117</v>
      </c>
      <c r="C17" s="78" t="s">
        <v>118</v>
      </c>
      <c r="D17" s="81">
        <v>0.27200000000000002</v>
      </c>
      <c r="E17" s="79" t="s">
        <v>86</v>
      </c>
      <c r="F17" s="80">
        <v>20</v>
      </c>
      <c r="G17" s="79">
        <f t="shared" si="0"/>
        <v>32.64</v>
      </c>
      <c r="H17" s="80"/>
    </row>
    <row r="18" spans="1:11" ht="33.75" customHeight="1">
      <c r="A18" s="78">
        <v>9</v>
      </c>
      <c r="B18" s="78" t="s">
        <v>119</v>
      </c>
      <c r="C18" s="78" t="s">
        <v>120</v>
      </c>
      <c r="D18" s="81">
        <v>0.84799999999999998</v>
      </c>
      <c r="E18" s="79" t="s">
        <v>86</v>
      </c>
      <c r="F18" s="80">
        <v>10</v>
      </c>
      <c r="G18" s="79">
        <f t="shared" si="0"/>
        <v>50.879999999999995</v>
      </c>
      <c r="H18" s="80"/>
    </row>
    <row r="19" spans="1:11" ht="33.75" customHeight="1">
      <c r="A19" s="78">
        <v>10</v>
      </c>
      <c r="B19" s="78" t="s">
        <v>137</v>
      </c>
      <c r="C19" s="78" t="s">
        <v>138</v>
      </c>
      <c r="D19" s="81">
        <v>0.76</v>
      </c>
      <c r="E19" s="79" t="s">
        <v>86</v>
      </c>
      <c r="F19" s="80">
        <v>10</v>
      </c>
      <c r="G19" s="79">
        <f t="shared" si="0"/>
        <v>45.6</v>
      </c>
      <c r="H19" s="80"/>
    </row>
    <row r="20" spans="1:11" ht="33.75" customHeight="1">
      <c r="A20" s="78">
        <v>11</v>
      </c>
      <c r="B20" s="78" t="s">
        <v>124</v>
      </c>
      <c r="C20" s="78" t="s">
        <v>125</v>
      </c>
      <c r="D20" s="81">
        <v>1.1259999999999999</v>
      </c>
      <c r="E20" s="79" t="s">
        <v>86</v>
      </c>
      <c r="F20" s="80">
        <v>16</v>
      </c>
      <c r="G20" s="79">
        <f t="shared" si="0"/>
        <v>108.09599999999999</v>
      </c>
      <c r="H20" s="80"/>
    </row>
    <row r="21" spans="1:11" ht="33.75" customHeight="1">
      <c r="A21" s="78">
        <v>12</v>
      </c>
      <c r="B21" s="78" t="s">
        <v>135</v>
      </c>
      <c r="C21" s="78" t="s">
        <v>136</v>
      </c>
      <c r="D21" s="81">
        <v>0.31</v>
      </c>
      <c r="E21" s="79" t="s">
        <v>86</v>
      </c>
      <c r="F21" s="80">
        <v>20</v>
      </c>
      <c r="G21" s="79">
        <f t="shared" si="0"/>
        <v>37.200000000000003</v>
      </c>
      <c r="H21" s="80"/>
    </row>
    <row r="22" spans="1:11" ht="33.75" customHeight="1">
      <c r="A22" s="78">
        <v>13</v>
      </c>
      <c r="B22" s="78" t="s">
        <v>101</v>
      </c>
      <c r="C22" s="78" t="s">
        <v>102</v>
      </c>
      <c r="D22" s="81">
        <v>1.425</v>
      </c>
      <c r="E22" s="79" t="s">
        <v>86</v>
      </c>
      <c r="F22" s="79">
        <v>6</v>
      </c>
      <c r="G22" s="79">
        <f t="shared" si="0"/>
        <v>51.300000000000004</v>
      </c>
      <c r="H22" s="80"/>
    </row>
    <row r="23" spans="1:11" ht="33.75" customHeight="1">
      <c r="A23" s="78">
        <v>14</v>
      </c>
      <c r="B23" s="78" t="s">
        <v>103</v>
      </c>
      <c r="C23" s="78" t="s">
        <v>104</v>
      </c>
      <c r="D23" s="81">
        <v>1.2350000000000001</v>
      </c>
      <c r="E23" s="79" t="s">
        <v>86</v>
      </c>
      <c r="F23" s="79">
        <v>8</v>
      </c>
      <c r="G23" s="79">
        <f t="shared" si="0"/>
        <v>59.28</v>
      </c>
      <c r="H23" s="80"/>
    </row>
    <row r="24" spans="1:11" ht="30" customHeight="1">
      <c r="A24" s="21"/>
      <c r="B24" s="96"/>
      <c r="C24" s="97"/>
      <c r="D24" s="84"/>
      <c r="E24" s="21"/>
      <c r="F24" s="21"/>
      <c r="G24" s="23">
        <f>SUM(G10:G21)</f>
        <v>626.78400000000011</v>
      </c>
      <c r="H24" s="24"/>
    </row>
    <row r="25" spans="1:11" ht="6" customHeight="1">
      <c r="A25" s="3"/>
      <c r="B25" s="4"/>
      <c r="C25" s="4"/>
      <c r="D25" s="4"/>
      <c r="E25" s="4"/>
      <c r="F25" s="4"/>
      <c r="G25" s="4"/>
    </row>
    <row r="26" spans="1:11" ht="20.25" customHeight="1">
      <c r="A26" s="9"/>
      <c r="B26" s="10"/>
      <c r="C26" s="98" t="s">
        <v>201</v>
      </c>
      <c r="D26" s="98"/>
      <c r="E26" s="98"/>
      <c r="F26" s="98"/>
      <c r="G26" s="98"/>
    </row>
    <row r="27" spans="1:11" ht="5.25" customHeight="1">
      <c r="A27" s="3"/>
      <c r="B27" s="4"/>
      <c r="C27" s="4"/>
      <c r="D27" s="4"/>
      <c r="E27" s="4"/>
      <c r="F27" s="4"/>
      <c r="G27" s="4"/>
    </row>
    <row r="28" spans="1:11" ht="17.25" customHeight="1">
      <c r="A28" s="6" t="s">
        <v>10</v>
      </c>
      <c r="B28" s="6"/>
      <c r="C28" s="6"/>
      <c r="D28" s="6"/>
      <c r="E28" s="6"/>
      <c r="F28" s="6"/>
      <c r="G28" s="6"/>
      <c r="H28" s="11"/>
      <c r="I28" s="12"/>
    </row>
    <row r="29" spans="1:11" s="1" customFormat="1" ht="17.25" customHeight="1">
      <c r="A29" s="14" t="s">
        <v>11</v>
      </c>
      <c r="H29" s="13"/>
      <c r="I29" s="13"/>
      <c r="K29"/>
    </row>
    <row r="30" spans="1:11" ht="20.25" customHeight="1">
      <c r="A30" s="4"/>
      <c r="B30" s="4"/>
      <c r="C30" s="4"/>
      <c r="D30" s="4"/>
      <c r="E30" s="4"/>
      <c r="F30" s="4"/>
      <c r="G30" s="4"/>
      <c r="K30" s="1"/>
    </row>
    <row r="31" spans="1:11" ht="26.25" customHeight="1">
      <c r="A31" s="3"/>
      <c r="B31" s="4"/>
      <c r="C31" s="4"/>
      <c r="D31" s="4"/>
      <c r="E31" s="4"/>
      <c r="F31" s="4"/>
      <c r="G31" s="4"/>
    </row>
    <row r="32" spans="1:11" ht="26.25" customHeight="1">
      <c r="A32" s="3"/>
      <c r="B32" s="4"/>
      <c r="C32" s="4"/>
      <c r="D32" s="4"/>
      <c r="E32" s="4"/>
      <c r="F32" s="4"/>
      <c r="G32" s="4"/>
    </row>
    <row r="33" spans="1:7" ht="26.25" customHeight="1">
      <c r="A33" s="3"/>
      <c r="B33" s="4"/>
      <c r="C33" s="4"/>
      <c r="D33" s="4"/>
      <c r="E33" s="4"/>
      <c r="F33" s="4"/>
      <c r="G33" s="4"/>
    </row>
    <row r="34" spans="1:7" ht="26.25" customHeight="1">
      <c r="A34" s="3"/>
      <c r="B34" s="4"/>
      <c r="C34" s="4"/>
      <c r="D34" s="4"/>
      <c r="E34" s="4"/>
      <c r="F34" s="4"/>
      <c r="G34" s="4"/>
    </row>
    <row r="35" spans="1:7" ht="26.25" customHeight="1">
      <c r="A35" s="3"/>
      <c r="B35" s="4"/>
      <c r="C35" s="4"/>
      <c r="D35" s="4"/>
      <c r="E35" s="4"/>
      <c r="F35" s="4"/>
      <c r="G35" s="4"/>
    </row>
    <row r="36" spans="1:7" ht="26.25" customHeight="1">
      <c r="A36" s="3"/>
      <c r="B36" s="4"/>
      <c r="C36" s="4"/>
      <c r="D36" s="4"/>
      <c r="E36" s="4"/>
      <c r="F36" s="4"/>
      <c r="G36" s="4"/>
    </row>
    <row r="37" spans="1:7" ht="15.75">
      <c r="A37" s="3"/>
      <c r="B37" s="4"/>
      <c r="C37" s="4"/>
      <c r="D37" s="4"/>
      <c r="E37" s="4"/>
      <c r="F37" s="4"/>
      <c r="G37" s="4"/>
    </row>
    <row r="38" spans="1:7" ht="15.75">
      <c r="A38" s="3"/>
      <c r="B38" s="4"/>
      <c r="C38" s="4"/>
      <c r="D38" s="4"/>
      <c r="E38" s="4"/>
      <c r="F38" s="4"/>
      <c r="G38" s="4"/>
    </row>
    <row r="39" spans="1:7" ht="15.75">
      <c r="A39" s="3"/>
      <c r="B39" s="4"/>
      <c r="C39" s="4"/>
      <c r="D39" s="4"/>
      <c r="E39" s="4"/>
      <c r="F39" s="4"/>
      <c r="G39" s="4"/>
    </row>
    <row r="40" spans="1:7" ht="15.75">
      <c r="A40" s="3"/>
      <c r="B40" s="4"/>
      <c r="C40" s="4"/>
      <c r="D40" s="4"/>
      <c r="E40" s="4"/>
      <c r="F40" s="4"/>
      <c r="G40" s="4"/>
    </row>
    <row r="41" spans="1:7" ht="15.75">
      <c r="A41" s="3"/>
      <c r="B41" s="4"/>
      <c r="C41" s="4"/>
      <c r="D41" s="4"/>
      <c r="E41" s="4"/>
      <c r="F41" s="4"/>
      <c r="G41" s="4"/>
    </row>
    <row r="42" spans="1:7" ht="15.75">
      <c r="A42" s="3"/>
      <c r="B42" s="4"/>
      <c r="C42" s="4"/>
      <c r="D42" s="4"/>
      <c r="E42" s="4"/>
      <c r="F42" s="4"/>
      <c r="G42" s="4"/>
    </row>
    <row r="43" spans="1:7">
      <c r="A43"/>
    </row>
    <row r="44" spans="1:7">
      <c r="A44"/>
    </row>
  </sheetData>
  <mergeCells count="4">
    <mergeCell ref="A1:G1"/>
    <mergeCell ref="B2:G2"/>
    <mergeCell ref="B24:C24"/>
    <mergeCell ref="C26:G26"/>
  </mergeCells>
  <pageMargins left="0.42" right="0.46" top="0.22" bottom="0.75" header="0.19" footer="0.66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topLeftCell="A13" zoomScale="91" zoomScaleNormal="91" workbookViewId="0">
      <selection activeCell="H37" sqref="H37:H39"/>
    </sheetView>
  </sheetViews>
  <sheetFormatPr defaultRowHeight="15"/>
  <cols>
    <col min="1" max="1" width="10.5703125" customWidth="1"/>
    <col min="2" max="2" width="16.42578125" customWidth="1"/>
    <col min="3" max="3" width="32.42578125" customWidth="1"/>
    <col min="4" max="4" width="10.140625" customWidth="1"/>
    <col min="5" max="5" width="13.85546875" customWidth="1"/>
    <col min="6" max="6" width="25.7109375" customWidth="1"/>
  </cols>
  <sheetData>
    <row r="1" spans="1:8" ht="18.75">
      <c r="A1" s="101" t="s">
        <v>4</v>
      </c>
      <c r="B1" s="101"/>
      <c r="C1" s="101"/>
      <c r="D1" s="101"/>
      <c r="E1" s="101"/>
      <c r="F1" s="101"/>
    </row>
    <row r="2" spans="1:8" ht="20.25">
      <c r="A2" s="26"/>
      <c r="B2" s="102" t="s">
        <v>57</v>
      </c>
      <c r="C2" s="102"/>
      <c r="D2" s="102"/>
      <c r="E2" s="102"/>
      <c r="F2" s="102"/>
    </row>
    <row r="3" spans="1:8" ht="23.25" customHeight="1">
      <c r="A3" s="15" t="s">
        <v>202</v>
      </c>
      <c r="B3" s="5"/>
      <c r="C3" s="5"/>
      <c r="D3" s="5"/>
      <c r="E3" s="5"/>
      <c r="F3" s="5"/>
      <c r="G3" s="5"/>
      <c r="H3" s="5"/>
    </row>
    <row r="4" spans="1:8" ht="23.25" customHeight="1">
      <c r="A4" s="15" t="s">
        <v>56</v>
      </c>
      <c r="B4" s="5"/>
      <c r="C4" s="5"/>
      <c r="D4" s="5"/>
      <c r="E4" s="5"/>
      <c r="F4" s="5"/>
      <c r="G4" s="5"/>
      <c r="H4" s="5"/>
    </row>
    <row r="5" spans="1:8" ht="23.25" customHeight="1">
      <c r="A5" s="15" t="s">
        <v>55</v>
      </c>
      <c r="B5" s="5"/>
      <c r="C5" s="5"/>
      <c r="D5" s="5"/>
      <c r="E5" s="5"/>
      <c r="F5" s="5"/>
      <c r="G5" s="5"/>
      <c r="H5" s="5"/>
    </row>
    <row r="6" spans="1:8" ht="23.25" customHeight="1">
      <c r="A6" s="15" t="s">
        <v>12</v>
      </c>
      <c r="B6" s="5"/>
      <c r="C6" s="5"/>
      <c r="D6" s="5"/>
      <c r="E6" s="5"/>
      <c r="F6" s="5"/>
      <c r="G6" s="5"/>
      <c r="H6" s="5"/>
    </row>
    <row r="7" spans="1:8" ht="23.25" customHeight="1">
      <c r="A7" s="15" t="s">
        <v>13</v>
      </c>
      <c r="B7" s="5"/>
      <c r="C7" s="5"/>
      <c r="D7" s="5"/>
      <c r="E7" s="5"/>
      <c r="F7" s="5"/>
      <c r="G7" s="5"/>
      <c r="H7" s="5"/>
    </row>
    <row r="8" spans="1:8">
      <c r="A8" s="27"/>
      <c r="B8" s="27"/>
      <c r="C8" s="27"/>
      <c r="D8" s="27"/>
      <c r="E8" s="28"/>
      <c r="F8" s="28"/>
      <c r="G8" s="2"/>
      <c r="H8" s="2"/>
    </row>
    <row r="9" spans="1:8" ht="25.5" customHeight="1">
      <c r="A9" s="29" t="s">
        <v>0</v>
      </c>
      <c r="B9" s="29" t="s">
        <v>14</v>
      </c>
      <c r="C9" s="29" t="s">
        <v>1</v>
      </c>
      <c r="D9" s="30" t="s">
        <v>2</v>
      </c>
      <c r="E9" s="30" t="s">
        <v>3</v>
      </c>
      <c r="F9" s="30" t="s">
        <v>15</v>
      </c>
      <c r="G9" s="20"/>
      <c r="H9" s="20"/>
    </row>
    <row r="10" spans="1:8" ht="41.25" customHeight="1">
      <c r="A10" s="92">
        <v>1</v>
      </c>
      <c r="B10" s="92" t="s">
        <v>188</v>
      </c>
      <c r="C10" s="92" t="s">
        <v>189</v>
      </c>
      <c r="D10" s="88" t="s">
        <v>145</v>
      </c>
      <c r="E10" s="93">
        <v>20</v>
      </c>
      <c r="F10" s="93"/>
      <c r="G10" s="20"/>
      <c r="H10" s="20"/>
    </row>
    <row r="11" spans="1:8" ht="45.75" customHeight="1">
      <c r="A11" s="88">
        <v>2</v>
      </c>
      <c r="B11" s="88" t="s">
        <v>143</v>
      </c>
      <c r="C11" s="88" t="s">
        <v>144</v>
      </c>
      <c r="D11" s="88" t="s">
        <v>145</v>
      </c>
      <c r="E11" s="89">
        <f>10*4</f>
        <v>40</v>
      </c>
      <c r="F11" s="88"/>
      <c r="G11" s="20"/>
      <c r="H11" s="20"/>
    </row>
    <row r="12" spans="1:8" ht="45.75" customHeight="1">
      <c r="A12" s="92">
        <v>3</v>
      </c>
      <c r="B12" s="88" t="s">
        <v>146</v>
      </c>
      <c r="C12" s="90" t="s">
        <v>147</v>
      </c>
      <c r="D12" s="88" t="s">
        <v>145</v>
      </c>
      <c r="E12" s="88">
        <f>15*4</f>
        <v>60</v>
      </c>
      <c r="F12" s="88"/>
      <c r="G12" s="20"/>
      <c r="H12" s="20"/>
    </row>
    <row r="13" spans="1:8" ht="45.75" customHeight="1">
      <c r="A13" s="88">
        <v>4</v>
      </c>
      <c r="B13" s="88" t="s">
        <v>148</v>
      </c>
      <c r="C13" s="90" t="s">
        <v>149</v>
      </c>
      <c r="D13" s="88" t="s">
        <v>145</v>
      </c>
      <c r="E13" s="88">
        <f>E11+E12*3+E14+E15*3+E10</f>
        <v>352</v>
      </c>
      <c r="F13" s="88"/>
      <c r="G13" s="20"/>
      <c r="H13" s="20"/>
    </row>
    <row r="14" spans="1:8" ht="45.75" customHeight="1">
      <c r="A14" s="92">
        <v>5</v>
      </c>
      <c r="B14" s="91" t="s">
        <v>151</v>
      </c>
      <c r="C14" s="88" t="s">
        <v>150</v>
      </c>
      <c r="D14" s="88" t="s">
        <v>145</v>
      </c>
      <c r="E14" s="88">
        <v>16</v>
      </c>
      <c r="F14" s="88"/>
      <c r="G14" s="20"/>
      <c r="H14" s="20"/>
    </row>
    <row r="15" spans="1:8" ht="45.75" customHeight="1">
      <c r="A15" s="88">
        <v>6</v>
      </c>
      <c r="B15" s="91" t="s">
        <v>152</v>
      </c>
      <c r="C15" s="88" t="s">
        <v>153</v>
      </c>
      <c r="D15" s="88" t="s">
        <v>145</v>
      </c>
      <c r="E15" s="88">
        <f>8*4</f>
        <v>32</v>
      </c>
      <c r="F15" s="88"/>
      <c r="G15" s="20"/>
      <c r="H15" s="20"/>
    </row>
    <row r="16" spans="1:8" ht="45.75" customHeight="1">
      <c r="A16" s="92">
        <v>7</v>
      </c>
      <c r="B16" s="91" t="s">
        <v>154</v>
      </c>
      <c r="C16" s="90" t="s">
        <v>155</v>
      </c>
      <c r="D16" s="88" t="s">
        <v>156</v>
      </c>
      <c r="E16" s="88">
        <v>1</v>
      </c>
      <c r="F16" s="88" t="s">
        <v>173</v>
      </c>
      <c r="G16" s="20"/>
      <c r="H16" s="20"/>
    </row>
    <row r="17" spans="1:8" ht="45.75" customHeight="1">
      <c r="A17" s="88">
        <v>8</v>
      </c>
      <c r="B17" s="91" t="s">
        <v>157</v>
      </c>
      <c r="C17" s="90" t="s">
        <v>158</v>
      </c>
      <c r="D17" s="88" t="s">
        <v>159</v>
      </c>
      <c r="E17" s="88">
        <v>4</v>
      </c>
      <c r="F17" s="88"/>
      <c r="G17" s="20"/>
      <c r="H17" s="20"/>
    </row>
    <row r="18" spans="1:8" ht="45.75" customHeight="1">
      <c r="A18" s="92">
        <v>9</v>
      </c>
      <c r="B18" s="91" t="s">
        <v>160</v>
      </c>
      <c r="C18" s="90" t="s">
        <v>161</v>
      </c>
      <c r="D18" s="88" t="s">
        <v>145</v>
      </c>
      <c r="E18" s="88">
        <v>30</v>
      </c>
      <c r="F18" s="88"/>
      <c r="G18" s="20"/>
      <c r="H18" s="20"/>
    </row>
    <row r="19" spans="1:8" ht="45.75" customHeight="1">
      <c r="A19" s="88">
        <v>10</v>
      </c>
      <c r="B19" s="91" t="s">
        <v>162</v>
      </c>
      <c r="C19" s="90" t="s">
        <v>163</v>
      </c>
      <c r="D19" s="88" t="s">
        <v>145</v>
      </c>
      <c r="E19" s="88">
        <v>30</v>
      </c>
      <c r="F19" s="88"/>
      <c r="G19" s="20"/>
      <c r="H19" s="20"/>
    </row>
    <row r="20" spans="1:8" ht="45.75" customHeight="1">
      <c r="A20" s="92">
        <v>11</v>
      </c>
      <c r="B20" s="91" t="s">
        <v>164</v>
      </c>
      <c r="C20" s="90" t="s">
        <v>165</v>
      </c>
      <c r="D20" s="88" t="s">
        <v>145</v>
      </c>
      <c r="E20" s="88">
        <v>30</v>
      </c>
      <c r="F20" s="88"/>
      <c r="G20" s="20"/>
      <c r="H20" s="20"/>
    </row>
    <row r="21" spans="1:8" ht="45.75" customHeight="1">
      <c r="A21" s="88">
        <v>12</v>
      </c>
      <c r="B21" s="91" t="s">
        <v>166</v>
      </c>
      <c r="C21" s="90" t="s">
        <v>167</v>
      </c>
      <c r="D21" s="88" t="s">
        <v>145</v>
      </c>
      <c r="E21" s="88">
        <f>16*2</f>
        <v>32</v>
      </c>
      <c r="F21" s="88"/>
      <c r="G21" s="20"/>
      <c r="H21" s="20"/>
    </row>
    <row r="22" spans="1:8" ht="39" customHeight="1">
      <c r="A22" s="92">
        <v>13</v>
      </c>
      <c r="B22" s="91" t="s">
        <v>168</v>
      </c>
      <c r="C22" s="90" t="s">
        <v>169</v>
      </c>
      <c r="D22" s="88" t="s">
        <v>159</v>
      </c>
      <c r="E22" s="88">
        <v>2</v>
      </c>
      <c r="F22" s="88" t="s">
        <v>197</v>
      </c>
      <c r="G22" s="20"/>
      <c r="H22" s="20"/>
    </row>
    <row r="23" spans="1:8" ht="39" customHeight="1">
      <c r="A23" s="88">
        <v>14</v>
      </c>
      <c r="B23" s="91" t="s">
        <v>170</v>
      </c>
      <c r="C23" s="90" t="s">
        <v>171</v>
      </c>
      <c r="D23" s="88" t="s">
        <v>172</v>
      </c>
      <c r="E23" s="88">
        <v>30</v>
      </c>
      <c r="F23" s="88" t="s">
        <v>173</v>
      </c>
      <c r="G23" s="20"/>
      <c r="H23" s="20"/>
    </row>
    <row r="24" spans="1:8" ht="39" customHeight="1">
      <c r="A24" s="92">
        <v>15</v>
      </c>
      <c r="B24" s="91" t="s">
        <v>174</v>
      </c>
      <c r="C24" s="90" t="s">
        <v>175</v>
      </c>
      <c r="D24" s="88" t="s">
        <v>172</v>
      </c>
      <c r="E24" s="88">
        <v>40</v>
      </c>
      <c r="F24" s="88"/>
      <c r="G24" s="20"/>
      <c r="H24" s="20"/>
    </row>
    <row r="25" spans="1:8" ht="42.75" customHeight="1">
      <c r="A25" s="88">
        <v>16</v>
      </c>
      <c r="B25" s="91" t="s">
        <v>176</v>
      </c>
      <c r="C25" s="90" t="s">
        <v>177</v>
      </c>
      <c r="D25" s="88" t="s">
        <v>145</v>
      </c>
      <c r="E25" s="88">
        <f>4*8</f>
        <v>32</v>
      </c>
      <c r="F25" s="88"/>
      <c r="G25" s="20"/>
      <c r="H25" s="20"/>
    </row>
    <row r="26" spans="1:8" ht="42.75" customHeight="1">
      <c r="A26" s="92">
        <v>17</v>
      </c>
      <c r="B26" s="91" t="s">
        <v>178</v>
      </c>
      <c r="C26" s="90" t="s">
        <v>179</v>
      </c>
      <c r="D26" s="88" t="s">
        <v>145</v>
      </c>
      <c r="E26" s="88">
        <f>8*4</f>
        <v>32</v>
      </c>
      <c r="F26" s="88"/>
      <c r="G26" s="20"/>
      <c r="H26" s="20"/>
    </row>
    <row r="27" spans="1:8" ht="66" customHeight="1">
      <c r="A27" s="88">
        <v>18</v>
      </c>
      <c r="B27" s="91" t="s">
        <v>180</v>
      </c>
      <c r="C27" s="90" t="s">
        <v>181</v>
      </c>
      <c r="D27" s="88" t="s">
        <v>156</v>
      </c>
      <c r="E27" s="88">
        <v>1</v>
      </c>
      <c r="F27" s="88" t="s">
        <v>196</v>
      </c>
      <c r="G27" s="20"/>
      <c r="H27" s="20"/>
    </row>
    <row r="28" spans="1:8" ht="66" customHeight="1">
      <c r="A28" s="92">
        <v>19</v>
      </c>
      <c r="B28" s="91" t="s">
        <v>182</v>
      </c>
      <c r="C28" s="90" t="s">
        <v>185</v>
      </c>
      <c r="D28" s="88" t="s">
        <v>172</v>
      </c>
      <c r="E28" s="88">
        <v>18</v>
      </c>
      <c r="F28" s="88" t="s">
        <v>195</v>
      </c>
      <c r="G28" s="20"/>
      <c r="H28" s="20"/>
    </row>
    <row r="29" spans="1:8" ht="66" customHeight="1">
      <c r="A29" s="88">
        <v>20</v>
      </c>
      <c r="B29" s="91" t="s">
        <v>183</v>
      </c>
      <c r="C29" s="90" t="s">
        <v>184</v>
      </c>
      <c r="D29" s="88" t="s">
        <v>86</v>
      </c>
      <c r="E29" s="88">
        <v>10</v>
      </c>
      <c r="F29" s="88" t="s">
        <v>194</v>
      </c>
      <c r="G29" s="20"/>
      <c r="H29" s="20"/>
    </row>
    <row r="30" spans="1:8" ht="66" customHeight="1">
      <c r="A30" s="92">
        <v>21</v>
      </c>
      <c r="B30" s="91" t="s">
        <v>186</v>
      </c>
      <c r="C30" s="90" t="s">
        <v>187</v>
      </c>
      <c r="D30" s="88" t="s">
        <v>86</v>
      </c>
      <c r="E30" s="88">
        <v>5</v>
      </c>
      <c r="F30" s="88" t="s">
        <v>194</v>
      </c>
      <c r="G30" s="20"/>
      <c r="H30" s="20"/>
    </row>
    <row r="31" spans="1:8" ht="66" customHeight="1">
      <c r="A31" s="88">
        <v>22</v>
      </c>
      <c r="B31" s="91" t="s">
        <v>190</v>
      </c>
      <c r="C31" s="90" t="s">
        <v>191</v>
      </c>
      <c r="D31" s="88" t="s">
        <v>192</v>
      </c>
      <c r="E31" s="88">
        <v>2</v>
      </c>
      <c r="F31" s="88" t="s">
        <v>193</v>
      </c>
      <c r="G31" s="20"/>
      <c r="H31" s="20"/>
    </row>
    <row r="32" spans="1:8" ht="28.5" customHeight="1">
      <c r="A32" s="31"/>
      <c r="B32" s="99" t="s">
        <v>16</v>
      </c>
      <c r="C32" s="100"/>
      <c r="D32" s="31"/>
      <c r="E32" s="32"/>
      <c r="F32" s="31"/>
    </row>
    <row r="33" spans="1:7">
      <c r="A33" s="2"/>
    </row>
    <row r="34" spans="1:7" ht="15.75">
      <c r="A34" s="33"/>
      <c r="B34" s="34"/>
      <c r="C34" s="98" t="s">
        <v>203</v>
      </c>
      <c r="D34" s="98"/>
      <c r="E34" s="98"/>
      <c r="F34" s="98"/>
    </row>
    <row r="35" spans="1:7" ht="18.75">
      <c r="A35" s="3"/>
      <c r="B35" s="4"/>
      <c r="C35" s="4"/>
      <c r="D35" s="4"/>
      <c r="E35" s="4"/>
      <c r="F35" s="35"/>
    </row>
    <row r="36" spans="1:7" ht="18.75">
      <c r="A36" s="36" t="s">
        <v>17</v>
      </c>
      <c r="B36" s="36"/>
      <c r="C36" s="36"/>
      <c r="D36" s="36"/>
      <c r="E36" s="36"/>
      <c r="F36" s="35"/>
    </row>
    <row r="37" spans="1:7" ht="18.75">
      <c r="A37" s="37" t="s">
        <v>18</v>
      </c>
      <c r="B37" s="38"/>
      <c r="C37" s="38"/>
      <c r="D37" s="38"/>
      <c r="E37" s="38"/>
      <c r="F37" s="35"/>
      <c r="G37" s="1"/>
    </row>
  </sheetData>
  <mergeCells count="4">
    <mergeCell ref="B32:C32"/>
    <mergeCell ref="C34:F34"/>
    <mergeCell ref="A1:F1"/>
    <mergeCell ref="B2:F2"/>
  </mergeCells>
  <pageMargins left="0.7" right="0.7" top="0.75" bottom="0.75" header="0.3" footer="0.3"/>
  <pageSetup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opLeftCell="A16" zoomScale="130" zoomScaleNormal="130" workbookViewId="0">
      <selection activeCell="D27" sqref="D27"/>
    </sheetView>
  </sheetViews>
  <sheetFormatPr defaultRowHeight="15"/>
  <cols>
    <col min="1" max="1" width="5" style="2" customWidth="1"/>
    <col min="2" max="2" width="26.7109375" customWidth="1"/>
    <col min="3" max="3" width="17.7109375" customWidth="1"/>
    <col min="4" max="4" width="10.7109375" customWidth="1"/>
    <col min="5" max="5" width="8.28515625" customWidth="1"/>
    <col min="6" max="6" width="7.140625" customWidth="1"/>
    <col min="7" max="7" width="8" customWidth="1"/>
    <col min="8" max="8" width="12.42578125" customWidth="1"/>
    <col min="9" max="9" width="12.28515625" bestFit="1" customWidth="1"/>
    <col min="257" max="257" width="5" customWidth="1"/>
    <col min="258" max="258" width="13" customWidth="1"/>
    <col min="259" max="259" width="30.5703125" customWidth="1"/>
    <col min="260" max="261" width="8.28515625" customWidth="1"/>
    <col min="262" max="262" width="8.140625" customWidth="1"/>
    <col min="263" max="263" width="10.140625" customWidth="1"/>
    <col min="264" max="264" width="10.85546875" customWidth="1"/>
    <col min="265" max="265" width="12.28515625" bestFit="1" customWidth="1"/>
    <col min="513" max="513" width="5" customWidth="1"/>
    <col min="514" max="514" width="13" customWidth="1"/>
    <col min="515" max="515" width="30.5703125" customWidth="1"/>
    <col min="516" max="517" width="8.28515625" customWidth="1"/>
    <col min="518" max="518" width="8.140625" customWidth="1"/>
    <col min="519" max="519" width="10.140625" customWidth="1"/>
    <col min="520" max="520" width="10.85546875" customWidth="1"/>
    <col min="521" max="521" width="12.28515625" bestFit="1" customWidth="1"/>
    <col min="769" max="769" width="5" customWidth="1"/>
    <col min="770" max="770" width="13" customWidth="1"/>
    <col min="771" max="771" width="30.5703125" customWidth="1"/>
    <col min="772" max="773" width="8.28515625" customWidth="1"/>
    <col min="774" max="774" width="8.140625" customWidth="1"/>
    <col min="775" max="775" width="10.140625" customWidth="1"/>
    <col min="776" max="776" width="10.85546875" customWidth="1"/>
    <col min="777" max="777" width="12.28515625" bestFit="1" customWidth="1"/>
    <col min="1025" max="1025" width="5" customWidth="1"/>
    <col min="1026" max="1026" width="13" customWidth="1"/>
    <col min="1027" max="1027" width="30.5703125" customWidth="1"/>
    <col min="1028" max="1029" width="8.28515625" customWidth="1"/>
    <col min="1030" max="1030" width="8.140625" customWidth="1"/>
    <col min="1031" max="1031" width="10.140625" customWidth="1"/>
    <col min="1032" max="1032" width="10.85546875" customWidth="1"/>
    <col min="1033" max="1033" width="12.28515625" bestFit="1" customWidth="1"/>
    <col min="1281" max="1281" width="5" customWidth="1"/>
    <col min="1282" max="1282" width="13" customWidth="1"/>
    <col min="1283" max="1283" width="30.5703125" customWidth="1"/>
    <col min="1284" max="1285" width="8.28515625" customWidth="1"/>
    <col min="1286" max="1286" width="8.140625" customWidth="1"/>
    <col min="1287" max="1287" width="10.140625" customWidth="1"/>
    <col min="1288" max="1288" width="10.85546875" customWidth="1"/>
    <col min="1289" max="1289" width="12.28515625" bestFit="1" customWidth="1"/>
    <col min="1537" max="1537" width="5" customWidth="1"/>
    <col min="1538" max="1538" width="13" customWidth="1"/>
    <col min="1539" max="1539" width="30.5703125" customWidth="1"/>
    <col min="1540" max="1541" width="8.28515625" customWidth="1"/>
    <col min="1542" max="1542" width="8.140625" customWidth="1"/>
    <col min="1543" max="1543" width="10.140625" customWidth="1"/>
    <col min="1544" max="1544" width="10.85546875" customWidth="1"/>
    <col min="1545" max="1545" width="12.28515625" bestFit="1" customWidth="1"/>
    <col min="1793" max="1793" width="5" customWidth="1"/>
    <col min="1794" max="1794" width="13" customWidth="1"/>
    <col min="1795" max="1795" width="30.5703125" customWidth="1"/>
    <col min="1796" max="1797" width="8.28515625" customWidth="1"/>
    <col min="1798" max="1798" width="8.140625" customWidth="1"/>
    <col min="1799" max="1799" width="10.140625" customWidth="1"/>
    <col min="1800" max="1800" width="10.85546875" customWidth="1"/>
    <col min="1801" max="1801" width="12.28515625" bestFit="1" customWidth="1"/>
    <col min="2049" max="2049" width="5" customWidth="1"/>
    <col min="2050" max="2050" width="13" customWidth="1"/>
    <col min="2051" max="2051" width="30.5703125" customWidth="1"/>
    <col min="2052" max="2053" width="8.28515625" customWidth="1"/>
    <col min="2054" max="2054" width="8.140625" customWidth="1"/>
    <col min="2055" max="2055" width="10.140625" customWidth="1"/>
    <col min="2056" max="2056" width="10.85546875" customWidth="1"/>
    <col min="2057" max="2057" width="12.28515625" bestFit="1" customWidth="1"/>
    <col min="2305" max="2305" width="5" customWidth="1"/>
    <col min="2306" max="2306" width="13" customWidth="1"/>
    <col min="2307" max="2307" width="30.5703125" customWidth="1"/>
    <col min="2308" max="2309" width="8.28515625" customWidth="1"/>
    <col min="2310" max="2310" width="8.140625" customWidth="1"/>
    <col min="2311" max="2311" width="10.140625" customWidth="1"/>
    <col min="2312" max="2312" width="10.85546875" customWidth="1"/>
    <col min="2313" max="2313" width="12.28515625" bestFit="1" customWidth="1"/>
    <col min="2561" max="2561" width="5" customWidth="1"/>
    <col min="2562" max="2562" width="13" customWidth="1"/>
    <col min="2563" max="2563" width="30.5703125" customWidth="1"/>
    <col min="2564" max="2565" width="8.28515625" customWidth="1"/>
    <col min="2566" max="2566" width="8.140625" customWidth="1"/>
    <col min="2567" max="2567" width="10.140625" customWidth="1"/>
    <col min="2568" max="2568" width="10.85546875" customWidth="1"/>
    <col min="2569" max="2569" width="12.28515625" bestFit="1" customWidth="1"/>
    <col min="2817" max="2817" width="5" customWidth="1"/>
    <col min="2818" max="2818" width="13" customWidth="1"/>
    <col min="2819" max="2819" width="30.5703125" customWidth="1"/>
    <col min="2820" max="2821" width="8.28515625" customWidth="1"/>
    <col min="2822" max="2822" width="8.140625" customWidth="1"/>
    <col min="2823" max="2823" width="10.140625" customWidth="1"/>
    <col min="2824" max="2824" width="10.85546875" customWidth="1"/>
    <col min="2825" max="2825" width="12.28515625" bestFit="1" customWidth="1"/>
    <col min="3073" max="3073" width="5" customWidth="1"/>
    <col min="3074" max="3074" width="13" customWidth="1"/>
    <col min="3075" max="3075" width="30.5703125" customWidth="1"/>
    <col min="3076" max="3077" width="8.28515625" customWidth="1"/>
    <col min="3078" max="3078" width="8.140625" customWidth="1"/>
    <col min="3079" max="3079" width="10.140625" customWidth="1"/>
    <col min="3080" max="3080" width="10.85546875" customWidth="1"/>
    <col min="3081" max="3081" width="12.28515625" bestFit="1" customWidth="1"/>
    <col min="3329" max="3329" width="5" customWidth="1"/>
    <col min="3330" max="3330" width="13" customWidth="1"/>
    <col min="3331" max="3331" width="30.5703125" customWidth="1"/>
    <col min="3332" max="3333" width="8.28515625" customWidth="1"/>
    <col min="3334" max="3334" width="8.140625" customWidth="1"/>
    <col min="3335" max="3335" width="10.140625" customWidth="1"/>
    <col min="3336" max="3336" width="10.85546875" customWidth="1"/>
    <col min="3337" max="3337" width="12.28515625" bestFit="1" customWidth="1"/>
    <col min="3585" max="3585" width="5" customWidth="1"/>
    <col min="3586" max="3586" width="13" customWidth="1"/>
    <col min="3587" max="3587" width="30.5703125" customWidth="1"/>
    <col min="3588" max="3589" width="8.28515625" customWidth="1"/>
    <col min="3590" max="3590" width="8.140625" customWidth="1"/>
    <col min="3591" max="3591" width="10.140625" customWidth="1"/>
    <col min="3592" max="3592" width="10.85546875" customWidth="1"/>
    <col min="3593" max="3593" width="12.28515625" bestFit="1" customWidth="1"/>
    <col min="3841" max="3841" width="5" customWidth="1"/>
    <col min="3842" max="3842" width="13" customWidth="1"/>
    <col min="3843" max="3843" width="30.5703125" customWidth="1"/>
    <col min="3844" max="3845" width="8.28515625" customWidth="1"/>
    <col min="3846" max="3846" width="8.140625" customWidth="1"/>
    <col min="3847" max="3847" width="10.140625" customWidth="1"/>
    <col min="3848" max="3848" width="10.85546875" customWidth="1"/>
    <col min="3849" max="3849" width="12.28515625" bestFit="1" customWidth="1"/>
    <col min="4097" max="4097" width="5" customWidth="1"/>
    <col min="4098" max="4098" width="13" customWidth="1"/>
    <col min="4099" max="4099" width="30.5703125" customWidth="1"/>
    <col min="4100" max="4101" width="8.28515625" customWidth="1"/>
    <col min="4102" max="4102" width="8.140625" customWidth="1"/>
    <col min="4103" max="4103" width="10.140625" customWidth="1"/>
    <col min="4104" max="4104" width="10.85546875" customWidth="1"/>
    <col min="4105" max="4105" width="12.28515625" bestFit="1" customWidth="1"/>
    <col min="4353" max="4353" width="5" customWidth="1"/>
    <col min="4354" max="4354" width="13" customWidth="1"/>
    <col min="4355" max="4355" width="30.5703125" customWidth="1"/>
    <col min="4356" max="4357" width="8.28515625" customWidth="1"/>
    <col min="4358" max="4358" width="8.140625" customWidth="1"/>
    <col min="4359" max="4359" width="10.140625" customWidth="1"/>
    <col min="4360" max="4360" width="10.85546875" customWidth="1"/>
    <col min="4361" max="4361" width="12.28515625" bestFit="1" customWidth="1"/>
    <col min="4609" max="4609" width="5" customWidth="1"/>
    <col min="4610" max="4610" width="13" customWidth="1"/>
    <col min="4611" max="4611" width="30.5703125" customWidth="1"/>
    <col min="4612" max="4613" width="8.28515625" customWidth="1"/>
    <col min="4614" max="4614" width="8.140625" customWidth="1"/>
    <col min="4615" max="4615" width="10.140625" customWidth="1"/>
    <col min="4616" max="4616" width="10.85546875" customWidth="1"/>
    <col min="4617" max="4617" width="12.28515625" bestFit="1" customWidth="1"/>
    <col min="4865" max="4865" width="5" customWidth="1"/>
    <col min="4866" max="4866" width="13" customWidth="1"/>
    <col min="4867" max="4867" width="30.5703125" customWidth="1"/>
    <col min="4868" max="4869" width="8.28515625" customWidth="1"/>
    <col min="4870" max="4870" width="8.140625" customWidth="1"/>
    <col min="4871" max="4871" width="10.140625" customWidth="1"/>
    <col min="4872" max="4872" width="10.85546875" customWidth="1"/>
    <col min="4873" max="4873" width="12.28515625" bestFit="1" customWidth="1"/>
    <col min="5121" max="5121" width="5" customWidth="1"/>
    <col min="5122" max="5122" width="13" customWidth="1"/>
    <col min="5123" max="5123" width="30.5703125" customWidth="1"/>
    <col min="5124" max="5125" width="8.28515625" customWidth="1"/>
    <col min="5126" max="5126" width="8.140625" customWidth="1"/>
    <col min="5127" max="5127" width="10.140625" customWidth="1"/>
    <col min="5128" max="5128" width="10.85546875" customWidth="1"/>
    <col min="5129" max="5129" width="12.28515625" bestFit="1" customWidth="1"/>
    <col min="5377" max="5377" width="5" customWidth="1"/>
    <col min="5378" max="5378" width="13" customWidth="1"/>
    <col min="5379" max="5379" width="30.5703125" customWidth="1"/>
    <col min="5380" max="5381" width="8.28515625" customWidth="1"/>
    <col min="5382" max="5382" width="8.140625" customWidth="1"/>
    <col min="5383" max="5383" width="10.140625" customWidth="1"/>
    <col min="5384" max="5384" width="10.85546875" customWidth="1"/>
    <col min="5385" max="5385" width="12.28515625" bestFit="1" customWidth="1"/>
    <col min="5633" max="5633" width="5" customWidth="1"/>
    <col min="5634" max="5634" width="13" customWidth="1"/>
    <col min="5635" max="5635" width="30.5703125" customWidth="1"/>
    <col min="5636" max="5637" width="8.28515625" customWidth="1"/>
    <col min="5638" max="5638" width="8.140625" customWidth="1"/>
    <col min="5639" max="5639" width="10.140625" customWidth="1"/>
    <col min="5640" max="5640" width="10.85546875" customWidth="1"/>
    <col min="5641" max="5641" width="12.28515625" bestFit="1" customWidth="1"/>
    <col min="5889" max="5889" width="5" customWidth="1"/>
    <col min="5890" max="5890" width="13" customWidth="1"/>
    <col min="5891" max="5891" width="30.5703125" customWidth="1"/>
    <col min="5892" max="5893" width="8.28515625" customWidth="1"/>
    <col min="5894" max="5894" width="8.140625" customWidth="1"/>
    <col min="5895" max="5895" width="10.140625" customWidth="1"/>
    <col min="5896" max="5896" width="10.85546875" customWidth="1"/>
    <col min="5897" max="5897" width="12.28515625" bestFit="1" customWidth="1"/>
    <col min="6145" max="6145" width="5" customWidth="1"/>
    <col min="6146" max="6146" width="13" customWidth="1"/>
    <col min="6147" max="6147" width="30.5703125" customWidth="1"/>
    <col min="6148" max="6149" width="8.28515625" customWidth="1"/>
    <col min="6150" max="6150" width="8.140625" customWidth="1"/>
    <col min="6151" max="6151" width="10.140625" customWidth="1"/>
    <col min="6152" max="6152" width="10.85546875" customWidth="1"/>
    <col min="6153" max="6153" width="12.28515625" bestFit="1" customWidth="1"/>
    <col min="6401" max="6401" width="5" customWidth="1"/>
    <col min="6402" max="6402" width="13" customWidth="1"/>
    <col min="6403" max="6403" width="30.5703125" customWidth="1"/>
    <col min="6404" max="6405" width="8.28515625" customWidth="1"/>
    <col min="6406" max="6406" width="8.140625" customWidth="1"/>
    <col min="6407" max="6407" width="10.140625" customWidth="1"/>
    <col min="6408" max="6408" width="10.85546875" customWidth="1"/>
    <col min="6409" max="6409" width="12.28515625" bestFit="1" customWidth="1"/>
    <col min="6657" max="6657" width="5" customWidth="1"/>
    <col min="6658" max="6658" width="13" customWidth="1"/>
    <col min="6659" max="6659" width="30.5703125" customWidth="1"/>
    <col min="6660" max="6661" width="8.28515625" customWidth="1"/>
    <col min="6662" max="6662" width="8.140625" customWidth="1"/>
    <col min="6663" max="6663" width="10.140625" customWidth="1"/>
    <col min="6664" max="6664" width="10.85546875" customWidth="1"/>
    <col min="6665" max="6665" width="12.28515625" bestFit="1" customWidth="1"/>
    <col min="6913" max="6913" width="5" customWidth="1"/>
    <col min="6914" max="6914" width="13" customWidth="1"/>
    <col min="6915" max="6915" width="30.5703125" customWidth="1"/>
    <col min="6916" max="6917" width="8.28515625" customWidth="1"/>
    <col min="6918" max="6918" width="8.140625" customWidth="1"/>
    <col min="6919" max="6919" width="10.140625" customWidth="1"/>
    <col min="6920" max="6920" width="10.85546875" customWidth="1"/>
    <col min="6921" max="6921" width="12.28515625" bestFit="1" customWidth="1"/>
    <col min="7169" max="7169" width="5" customWidth="1"/>
    <col min="7170" max="7170" width="13" customWidth="1"/>
    <col min="7171" max="7171" width="30.5703125" customWidth="1"/>
    <col min="7172" max="7173" width="8.28515625" customWidth="1"/>
    <col min="7174" max="7174" width="8.140625" customWidth="1"/>
    <col min="7175" max="7175" width="10.140625" customWidth="1"/>
    <col min="7176" max="7176" width="10.85546875" customWidth="1"/>
    <col min="7177" max="7177" width="12.28515625" bestFit="1" customWidth="1"/>
    <col min="7425" max="7425" width="5" customWidth="1"/>
    <col min="7426" max="7426" width="13" customWidth="1"/>
    <col min="7427" max="7427" width="30.5703125" customWidth="1"/>
    <col min="7428" max="7429" width="8.28515625" customWidth="1"/>
    <col min="7430" max="7430" width="8.140625" customWidth="1"/>
    <col min="7431" max="7431" width="10.140625" customWidth="1"/>
    <col min="7432" max="7432" width="10.85546875" customWidth="1"/>
    <col min="7433" max="7433" width="12.28515625" bestFit="1" customWidth="1"/>
    <col min="7681" max="7681" width="5" customWidth="1"/>
    <col min="7682" max="7682" width="13" customWidth="1"/>
    <col min="7683" max="7683" width="30.5703125" customWidth="1"/>
    <col min="7684" max="7685" width="8.28515625" customWidth="1"/>
    <col min="7686" max="7686" width="8.140625" customWidth="1"/>
    <col min="7687" max="7687" width="10.140625" customWidth="1"/>
    <col min="7688" max="7688" width="10.85546875" customWidth="1"/>
    <col min="7689" max="7689" width="12.28515625" bestFit="1" customWidth="1"/>
    <col min="7937" max="7937" width="5" customWidth="1"/>
    <col min="7938" max="7938" width="13" customWidth="1"/>
    <col min="7939" max="7939" width="30.5703125" customWidth="1"/>
    <col min="7940" max="7941" width="8.28515625" customWidth="1"/>
    <col min="7942" max="7942" width="8.140625" customWidth="1"/>
    <col min="7943" max="7943" width="10.140625" customWidth="1"/>
    <col min="7944" max="7944" width="10.85546875" customWidth="1"/>
    <col min="7945" max="7945" width="12.28515625" bestFit="1" customWidth="1"/>
    <col min="8193" max="8193" width="5" customWidth="1"/>
    <col min="8194" max="8194" width="13" customWidth="1"/>
    <col min="8195" max="8195" width="30.5703125" customWidth="1"/>
    <col min="8196" max="8197" width="8.28515625" customWidth="1"/>
    <col min="8198" max="8198" width="8.140625" customWidth="1"/>
    <col min="8199" max="8199" width="10.140625" customWidth="1"/>
    <col min="8200" max="8200" width="10.85546875" customWidth="1"/>
    <col min="8201" max="8201" width="12.28515625" bestFit="1" customWidth="1"/>
    <col min="8449" max="8449" width="5" customWidth="1"/>
    <col min="8450" max="8450" width="13" customWidth="1"/>
    <col min="8451" max="8451" width="30.5703125" customWidth="1"/>
    <col min="8452" max="8453" width="8.28515625" customWidth="1"/>
    <col min="8454" max="8454" width="8.140625" customWidth="1"/>
    <col min="8455" max="8455" width="10.140625" customWidth="1"/>
    <col min="8456" max="8456" width="10.85546875" customWidth="1"/>
    <col min="8457" max="8457" width="12.28515625" bestFit="1" customWidth="1"/>
    <col min="8705" max="8705" width="5" customWidth="1"/>
    <col min="8706" max="8706" width="13" customWidth="1"/>
    <col min="8707" max="8707" width="30.5703125" customWidth="1"/>
    <col min="8708" max="8709" width="8.28515625" customWidth="1"/>
    <col min="8710" max="8710" width="8.140625" customWidth="1"/>
    <col min="8711" max="8711" width="10.140625" customWidth="1"/>
    <col min="8712" max="8712" width="10.85546875" customWidth="1"/>
    <col min="8713" max="8713" width="12.28515625" bestFit="1" customWidth="1"/>
    <col min="8961" max="8961" width="5" customWidth="1"/>
    <col min="8962" max="8962" width="13" customWidth="1"/>
    <col min="8963" max="8963" width="30.5703125" customWidth="1"/>
    <col min="8964" max="8965" width="8.28515625" customWidth="1"/>
    <col min="8966" max="8966" width="8.140625" customWidth="1"/>
    <col min="8967" max="8967" width="10.140625" customWidth="1"/>
    <col min="8968" max="8968" width="10.85546875" customWidth="1"/>
    <col min="8969" max="8969" width="12.28515625" bestFit="1" customWidth="1"/>
    <col min="9217" max="9217" width="5" customWidth="1"/>
    <col min="9218" max="9218" width="13" customWidth="1"/>
    <col min="9219" max="9219" width="30.5703125" customWidth="1"/>
    <col min="9220" max="9221" width="8.28515625" customWidth="1"/>
    <col min="9222" max="9222" width="8.140625" customWidth="1"/>
    <col min="9223" max="9223" width="10.140625" customWidth="1"/>
    <col min="9224" max="9224" width="10.85546875" customWidth="1"/>
    <col min="9225" max="9225" width="12.28515625" bestFit="1" customWidth="1"/>
    <col min="9473" max="9473" width="5" customWidth="1"/>
    <col min="9474" max="9474" width="13" customWidth="1"/>
    <col min="9475" max="9475" width="30.5703125" customWidth="1"/>
    <col min="9476" max="9477" width="8.28515625" customWidth="1"/>
    <col min="9478" max="9478" width="8.140625" customWidth="1"/>
    <col min="9479" max="9479" width="10.140625" customWidth="1"/>
    <col min="9480" max="9480" width="10.85546875" customWidth="1"/>
    <col min="9481" max="9481" width="12.28515625" bestFit="1" customWidth="1"/>
    <col min="9729" max="9729" width="5" customWidth="1"/>
    <col min="9730" max="9730" width="13" customWidth="1"/>
    <col min="9731" max="9731" width="30.5703125" customWidth="1"/>
    <col min="9732" max="9733" width="8.28515625" customWidth="1"/>
    <col min="9734" max="9734" width="8.140625" customWidth="1"/>
    <col min="9735" max="9735" width="10.140625" customWidth="1"/>
    <col min="9736" max="9736" width="10.85546875" customWidth="1"/>
    <col min="9737" max="9737" width="12.28515625" bestFit="1" customWidth="1"/>
    <col min="9985" max="9985" width="5" customWidth="1"/>
    <col min="9986" max="9986" width="13" customWidth="1"/>
    <col min="9987" max="9987" width="30.5703125" customWidth="1"/>
    <col min="9988" max="9989" width="8.28515625" customWidth="1"/>
    <col min="9990" max="9990" width="8.140625" customWidth="1"/>
    <col min="9991" max="9991" width="10.140625" customWidth="1"/>
    <col min="9992" max="9992" width="10.85546875" customWidth="1"/>
    <col min="9993" max="9993" width="12.28515625" bestFit="1" customWidth="1"/>
    <col min="10241" max="10241" width="5" customWidth="1"/>
    <col min="10242" max="10242" width="13" customWidth="1"/>
    <col min="10243" max="10243" width="30.5703125" customWidth="1"/>
    <col min="10244" max="10245" width="8.28515625" customWidth="1"/>
    <col min="10246" max="10246" width="8.140625" customWidth="1"/>
    <col min="10247" max="10247" width="10.140625" customWidth="1"/>
    <col min="10248" max="10248" width="10.85546875" customWidth="1"/>
    <col min="10249" max="10249" width="12.28515625" bestFit="1" customWidth="1"/>
    <col min="10497" max="10497" width="5" customWidth="1"/>
    <col min="10498" max="10498" width="13" customWidth="1"/>
    <col min="10499" max="10499" width="30.5703125" customWidth="1"/>
    <col min="10500" max="10501" width="8.28515625" customWidth="1"/>
    <col min="10502" max="10502" width="8.140625" customWidth="1"/>
    <col min="10503" max="10503" width="10.140625" customWidth="1"/>
    <col min="10504" max="10504" width="10.85546875" customWidth="1"/>
    <col min="10505" max="10505" width="12.28515625" bestFit="1" customWidth="1"/>
    <col min="10753" max="10753" width="5" customWidth="1"/>
    <col min="10754" max="10754" width="13" customWidth="1"/>
    <col min="10755" max="10755" width="30.5703125" customWidth="1"/>
    <col min="10756" max="10757" width="8.28515625" customWidth="1"/>
    <col min="10758" max="10758" width="8.140625" customWidth="1"/>
    <col min="10759" max="10759" width="10.140625" customWidth="1"/>
    <col min="10760" max="10760" width="10.85546875" customWidth="1"/>
    <col min="10761" max="10761" width="12.28515625" bestFit="1" customWidth="1"/>
    <col min="11009" max="11009" width="5" customWidth="1"/>
    <col min="11010" max="11010" width="13" customWidth="1"/>
    <col min="11011" max="11011" width="30.5703125" customWidth="1"/>
    <col min="11012" max="11013" width="8.28515625" customWidth="1"/>
    <col min="11014" max="11014" width="8.140625" customWidth="1"/>
    <col min="11015" max="11015" width="10.140625" customWidth="1"/>
    <col min="11016" max="11016" width="10.85546875" customWidth="1"/>
    <col min="11017" max="11017" width="12.28515625" bestFit="1" customWidth="1"/>
    <col min="11265" max="11265" width="5" customWidth="1"/>
    <col min="11266" max="11266" width="13" customWidth="1"/>
    <col min="11267" max="11267" width="30.5703125" customWidth="1"/>
    <col min="11268" max="11269" width="8.28515625" customWidth="1"/>
    <col min="11270" max="11270" width="8.140625" customWidth="1"/>
    <col min="11271" max="11271" width="10.140625" customWidth="1"/>
    <col min="11272" max="11272" width="10.85546875" customWidth="1"/>
    <col min="11273" max="11273" width="12.28515625" bestFit="1" customWidth="1"/>
    <col min="11521" max="11521" width="5" customWidth="1"/>
    <col min="11522" max="11522" width="13" customWidth="1"/>
    <col min="11523" max="11523" width="30.5703125" customWidth="1"/>
    <col min="11524" max="11525" width="8.28515625" customWidth="1"/>
    <col min="11526" max="11526" width="8.140625" customWidth="1"/>
    <col min="11527" max="11527" width="10.140625" customWidth="1"/>
    <col min="11528" max="11528" width="10.85546875" customWidth="1"/>
    <col min="11529" max="11529" width="12.28515625" bestFit="1" customWidth="1"/>
    <col min="11777" max="11777" width="5" customWidth="1"/>
    <col min="11778" max="11778" width="13" customWidth="1"/>
    <col min="11779" max="11779" width="30.5703125" customWidth="1"/>
    <col min="11780" max="11781" width="8.28515625" customWidth="1"/>
    <col min="11782" max="11782" width="8.140625" customWidth="1"/>
    <col min="11783" max="11783" width="10.140625" customWidth="1"/>
    <col min="11784" max="11784" width="10.85546875" customWidth="1"/>
    <col min="11785" max="11785" width="12.28515625" bestFit="1" customWidth="1"/>
    <col min="12033" max="12033" width="5" customWidth="1"/>
    <col min="12034" max="12034" width="13" customWidth="1"/>
    <col min="12035" max="12035" width="30.5703125" customWidth="1"/>
    <col min="12036" max="12037" width="8.28515625" customWidth="1"/>
    <col min="12038" max="12038" width="8.140625" customWidth="1"/>
    <col min="12039" max="12039" width="10.140625" customWidth="1"/>
    <col min="12040" max="12040" width="10.85546875" customWidth="1"/>
    <col min="12041" max="12041" width="12.28515625" bestFit="1" customWidth="1"/>
    <col min="12289" max="12289" width="5" customWidth="1"/>
    <col min="12290" max="12290" width="13" customWidth="1"/>
    <col min="12291" max="12291" width="30.5703125" customWidth="1"/>
    <col min="12292" max="12293" width="8.28515625" customWidth="1"/>
    <col min="12294" max="12294" width="8.140625" customWidth="1"/>
    <col min="12295" max="12295" width="10.140625" customWidth="1"/>
    <col min="12296" max="12296" width="10.85546875" customWidth="1"/>
    <col min="12297" max="12297" width="12.28515625" bestFit="1" customWidth="1"/>
    <col min="12545" max="12545" width="5" customWidth="1"/>
    <col min="12546" max="12546" width="13" customWidth="1"/>
    <col min="12547" max="12547" width="30.5703125" customWidth="1"/>
    <col min="12548" max="12549" width="8.28515625" customWidth="1"/>
    <col min="12550" max="12550" width="8.140625" customWidth="1"/>
    <col min="12551" max="12551" width="10.140625" customWidth="1"/>
    <col min="12552" max="12552" width="10.85546875" customWidth="1"/>
    <col min="12553" max="12553" width="12.28515625" bestFit="1" customWidth="1"/>
    <col min="12801" max="12801" width="5" customWidth="1"/>
    <col min="12802" max="12802" width="13" customWidth="1"/>
    <col min="12803" max="12803" width="30.5703125" customWidth="1"/>
    <col min="12804" max="12805" width="8.28515625" customWidth="1"/>
    <col min="12806" max="12806" width="8.140625" customWidth="1"/>
    <col min="12807" max="12807" width="10.140625" customWidth="1"/>
    <col min="12808" max="12808" width="10.85546875" customWidth="1"/>
    <col min="12809" max="12809" width="12.28515625" bestFit="1" customWidth="1"/>
    <col min="13057" max="13057" width="5" customWidth="1"/>
    <col min="13058" max="13058" width="13" customWidth="1"/>
    <col min="13059" max="13059" width="30.5703125" customWidth="1"/>
    <col min="13060" max="13061" width="8.28515625" customWidth="1"/>
    <col min="13062" max="13062" width="8.140625" customWidth="1"/>
    <col min="13063" max="13063" width="10.140625" customWidth="1"/>
    <col min="13064" max="13064" width="10.85546875" customWidth="1"/>
    <col min="13065" max="13065" width="12.28515625" bestFit="1" customWidth="1"/>
    <col min="13313" max="13313" width="5" customWidth="1"/>
    <col min="13314" max="13314" width="13" customWidth="1"/>
    <col min="13315" max="13315" width="30.5703125" customWidth="1"/>
    <col min="13316" max="13317" width="8.28515625" customWidth="1"/>
    <col min="13318" max="13318" width="8.140625" customWidth="1"/>
    <col min="13319" max="13319" width="10.140625" customWidth="1"/>
    <col min="13320" max="13320" width="10.85546875" customWidth="1"/>
    <col min="13321" max="13321" width="12.28515625" bestFit="1" customWidth="1"/>
    <col min="13569" max="13569" width="5" customWidth="1"/>
    <col min="13570" max="13570" width="13" customWidth="1"/>
    <col min="13571" max="13571" width="30.5703125" customWidth="1"/>
    <col min="13572" max="13573" width="8.28515625" customWidth="1"/>
    <col min="13574" max="13574" width="8.140625" customWidth="1"/>
    <col min="13575" max="13575" width="10.140625" customWidth="1"/>
    <col min="13576" max="13576" width="10.85546875" customWidth="1"/>
    <col min="13577" max="13577" width="12.28515625" bestFit="1" customWidth="1"/>
    <col min="13825" max="13825" width="5" customWidth="1"/>
    <col min="13826" max="13826" width="13" customWidth="1"/>
    <col min="13827" max="13827" width="30.5703125" customWidth="1"/>
    <col min="13828" max="13829" width="8.28515625" customWidth="1"/>
    <col min="13830" max="13830" width="8.140625" customWidth="1"/>
    <col min="13831" max="13831" width="10.140625" customWidth="1"/>
    <col min="13832" max="13832" width="10.85546875" customWidth="1"/>
    <col min="13833" max="13833" width="12.28515625" bestFit="1" customWidth="1"/>
    <col min="14081" max="14081" width="5" customWidth="1"/>
    <col min="14082" max="14082" width="13" customWidth="1"/>
    <col min="14083" max="14083" width="30.5703125" customWidth="1"/>
    <col min="14084" max="14085" width="8.28515625" customWidth="1"/>
    <col min="14086" max="14086" width="8.140625" customWidth="1"/>
    <col min="14087" max="14087" width="10.140625" customWidth="1"/>
    <col min="14088" max="14088" width="10.85546875" customWidth="1"/>
    <col min="14089" max="14089" width="12.28515625" bestFit="1" customWidth="1"/>
    <col min="14337" max="14337" width="5" customWidth="1"/>
    <col min="14338" max="14338" width="13" customWidth="1"/>
    <col min="14339" max="14339" width="30.5703125" customWidth="1"/>
    <col min="14340" max="14341" width="8.28515625" customWidth="1"/>
    <col min="14342" max="14342" width="8.140625" customWidth="1"/>
    <col min="14343" max="14343" width="10.140625" customWidth="1"/>
    <col min="14344" max="14344" width="10.85546875" customWidth="1"/>
    <col min="14345" max="14345" width="12.28515625" bestFit="1" customWidth="1"/>
    <col min="14593" max="14593" width="5" customWidth="1"/>
    <col min="14594" max="14594" width="13" customWidth="1"/>
    <col min="14595" max="14595" width="30.5703125" customWidth="1"/>
    <col min="14596" max="14597" width="8.28515625" customWidth="1"/>
    <col min="14598" max="14598" width="8.140625" customWidth="1"/>
    <col min="14599" max="14599" width="10.140625" customWidth="1"/>
    <col min="14600" max="14600" width="10.85546875" customWidth="1"/>
    <col min="14601" max="14601" width="12.28515625" bestFit="1" customWidth="1"/>
    <col min="14849" max="14849" width="5" customWidth="1"/>
    <col min="14850" max="14850" width="13" customWidth="1"/>
    <col min="14851" max="14851" width="30.5703125" customWidth="1"/>
    <col min="14852" max="14853" width="8.28515625" customWidth="1"/>
    <col min="14854" max="14854" width="8.140625" customWidth="1"/>
    <col min="14855" max="14855" width="10.140625" customWidth="1"/>
    <col min="14856" max="14856" width="10.85546875" customWidth="1"/>
    <col min="14857" max="14857" width="12.28515625" bestFit="1" customWidth="1"/>
    <col min="15105" max="15105" width="5" customWidth="1"/>
    <col min="15106" max="15106" width="13" customWidth="1"/>
    <col min="15107" max="15107" width="30.5703125" customWidth="1"/>
    <col min="15108" max="15109" width="8.28515625" customWidth="1"/>
    <col min="15110" max="15110" width="8.140625" customWidth="1"/>
    <col min="15111" max="15111" width="10.140625" customWidth="1"/>
    <col min="15112" max="15112" width="10.85546875" customWidth="1"/>
    <col min="15113" max="15113" width="12.28515625" bestFit="1" customWidth="1"/>
    <col min="15361" max="15361" width="5" customWidth="1"/>
    <col min="15362" max="15362" width="13" customWidth="1"/>
    <col min="15363" max="15363" width="30.5703125" customWidth="1"/>
    <col min="15364" max="15365" width="8.28515625" customWidth="1"/>
    <col min="15366" max="15366" width="8.140625" customWidth="1"/>
    <col min="15367" max="15367" width="10.140625" customWidth="1"/>
    <col min="15368" max="15368" width="10.85546875" customWidth="1"/>
    <col min="15369" max="15369" width="12.28515625" bestFit="1" customWidth="1"/>
    <col min="15617" max="15617" width="5" customWidth="1"/>
    <col min="15618" max="15618" width="13" customWidth="1"/>
    <col min="15619" max="15619" width="30.5703125" customWidth="1"/>
    <col min="15620" max="15621" width="8.28515625" customWidth="1"/>
    <col min="15622" max="15622" width="8.140625" customWidth="1"/>
    <col min="15623" max="15623" width="10.140625" customWidth="1"/>
    <col min="15624" max="15624" width="10.85546875" customWidth="1"/>
    <col min="15625" max="15625" width="12.28515625" bestFit="1" customWidth="1"/>
    <col min="15873" max="15873" width="5" customWidth="1"/>
    <col min="15874" max="15874" width="13" customWidth="1"/>
    <col min="15875" max="15875" width="30.5703125" customWidth="1"/>
    <col min="15876" max="15877" width="8.28515625" customWidth="1"/>
    <col min="15878" max="15878" width="8.140625" customWidth="1"/>
    <col min="15879" max="15879" width="10.140625" customWidth="1"/>
    <col min="15880" max="15880" width="10.85546875" customWidth="1"/>
    <col min="15881" max="15881" width="12.28515625" bestFit="1" customWidth="1"/>
    <col min="16129" max="16129" width="5" customWidth="1"/>
    <col min="16130" max="16130" width="13" customWidth="1"/>
    <col min="16131" max="16131" width="30.5703125" customWidth="1"/>
    <col min="16132" max="16133" width="8.28515625" customWidth="1"/>
    <col min="16134" max="16134" width="8.140625" customWidth="1"/>
    <col min="16135" max="16135" width="10.140625" customWidth="1"/>
    <col min="16136" max="16136" width="10.85546875" customWidth="1"/>
    <col min="16137" max="16137" width="12.28515625" bestFit="1" customWidth="1"/>
  </cols>
  <sheetData>
    <row r="1" spans="1:8" ht="25.5" customHeight="1">
      <c r="A1" s="94" t="s">
        <v>4</v>
      </c>
      <c r="B1" s="94"/>
      <c r="C1" s="94"/>
      <c r="D1" s="94"/>
      <c r="E1" s="94"/>
      <c r="F1" s="94"/>
      <c r="G1" s="94"/>
    </row>
    <row r="2" spans="1:8" ht="21.75" customHeight="1">
      <c r="A2" s="7"/>
      <c r="B2" s="95" t="s">
        <v>62</v>
      </c>
      <c r="C2" s="95"/>
      <c r="D2" s="95"/>
      <c r="E2" s="95"/>
      <c r="F2" s="95"/>
      <c r="G2" s="95"/>
    </row>
    <row r="3" spans="1:8" s="5" customFormat="1" ht="23.25" customHeight="1">
      <c r="A3" s="15" t="s">
        <v>141</v>
      </c>
    </row>
    <row r="4" spans="1:8" s="5" customFormat="1" ht="23.25" customHeight="1">
      <c r="A4" s="15" t="s">
        <v>82</v>
      </c>
    </row>
    <row r="5" spans="1:8" s="5" customFormat="1" ht="23.25" customHeight="1">
      <c r="A5" s="15" t="s">
        <v>5</v>
      </c>
    </row>
    <row r="6" spans="1:8" s="5" customFormat="1" ht="23.25" customHeight="1">
      <c r="A6" s="16" t="s">
        <v>139</v>
      </c>
      <c r="B6" s="17"/>
    </row>
    <row r="7" spans="1:8" s="5" customFormat="1" ht="23.25" customHeight="1">
      <c r="A7" s="15" t="s">
        <v>140</v>
      </c>
    </row>
    <row r="8" spans="1:8" s="2" customFormat="1" ht="9.75" customHeight="1">
      <c r="A8" s="7"/>
      <c r="B8" s="7"/>
      <c r="C8" s="7"/>
      <c r="D8" s="7"/>
      <c r="E8" s="7"/>
      <c r="F8" s="7"/>
      <c r="G8" s="8"/>
    </row>
    <row r="9" spans="1:8" ht="43.5" customHeight="1">
      <c r="A9" s="18" t="s">
        <v>0</v>
      </c>
      <c r="B9" s="18" t="s">
        <v>1</v>
      </c>
      <c r="C9" s="18" t="s">
        <v>9</v>
      </c>
      <c r="D9" s="18" t="s">
        <v>7</v>
      </c>
      <c r="E9" s="19" t="s">
        <v>2</v>
      </c>
      <c r="F9" s="19" t="s">
        <v>3</v>
      </c>
      <c r="G9" s="19" t="s">
        <v>6</v>
      </c>
      <c r="H9" s="19" t="s">
        <v>8</v>
      </c>
    </row>
    <row r="10" spans="1:8" ht="24.75" customHeight="1">
      <c r="A10" s="78">
        <v>1</v>
      </c>
      <c r="B10" s="85" t="s">
        <v>84</v>
      </c>
      <c r="C10" s="85" t="s">
        <v>85</v>
      </c>
      <c r="D10" s="78">
        <v>1.4770000000000001</v>
      </c>
      <c r="E10" s="79" t="s">
        <v>86</v>
      </c>
      <c r="F10" s="79">
        <v>9</v>
      </c>
      <c r="G10" s="79">
        <f>F10*6*D10</f>
        <v>79.75800000000001</v>
      </c>
      <c r="H10" s="80">
        <v>10</v>
      </c>
    </row>
    <row r="11" spans="1:8" ht="24.75" customHeight="1">
      <c r="A11" s="78">
        <v>2</v>
      </c>
      <c r="B11" s="86" t="s">
        <v>88</v>
      </c>
      <c r="C11" s="85" t="s">
        <v>87</v>
      </c>
      <c r="D11" s="78">
        <v>1.8129999999999999</v>
      </c>
      <c r="E11" s="79" t="s">
        <v>86</v>
      </c>
      <c r="F11" s="79">
        <v>5</v>
      </c>
      <c r="G11" s="79">
        <f t="shared" ref="G11:G36" si="0">F11*6*D11</f>
        <v>54.39</v>
      </c>
      <c r="H11" s="80">
        <v>6</v>
      </c>
    </row>
    <row r="12" spans="1:8" ht="24.75" customHeight="1">
      <c r="A12" s="78">
        <v>3</v>
      </c>
      <c r="B12" s="86" t="s">
        <v>90</v>
      </c>
      <c r="C12" s="85" t="s">
        <v>89</v>
      </c>
      <c r="D12" s="81">
        <v>1.0900000000000001</v>
      </c>
      <c r="E12" s="79" t="s">
        <v>86</v>
      </c>
      <c r="F12" s="79">
        <v>1</v>
      </c>
      <c r="G12" s="79">
        <f t="shared" si="0"/>
        <v>6.5400000000000009</v>
      </c>
      <c r="H12" s="80"/>
    </row>
    <row r="13" spans="1:8" ht="24.75" customHeight="1">
      <c r="A13" s="78">
        <v>4</v>
      </c>
      <c r="B13" s="86" t="s">
        <v>92</v>
      </c>
      <c r="C13" s="87" t="s">
        <v>91</v>
      </c>
      <c r="D13" s="81">
        <v>1.2689999999999999</v>
      </c>
      <c r="E13" s="79" t="s">
        <v>86</v>
      </c>
      <c r="F13" s="79">
        <v>1</v>
      </c>
      <c r="G13" s="79">
        <f t="shared" si="0"/>
        <v>7.613999999999999</v>
      </c>
      <c r="H13" s="80"/>
    </row>
    <row r="14" spans="1:8" ht="24.75" customHeight="1">
      <c r="A14" s="78">
        <v>5</v>
      </c>
      <c r="B14" s="86" t="s">
        <v>94</v>
      </c>
      <c r="C14" s="87" t="s">
        <v>93</v>
      </c>
      <c r="D14" s="81">
        <v>0.41499999999999998</v>
      </c>
      <c r="E14" s="79" t="s">
        <v>86</v>
      </c>
      <c r="F14" s="79">
        <v>3</v>
      </c>
      <c r="G14" s="79">
        <f t="shared" si="0"/>
        <v>7.47</v>
      </c>
      <c r="H14" s="80"/>
    </row>
    <row r="15" spans="1:8" ht="24.75" customHeight="1">
      <c r="A15" s="78">
        <v>6</v>
      </c>
      <c r="B15" s="82" t="s">
        <v>95</v>
      </c>
      <c r="C15" s="78" t="s">
        <v>96</v>
      </c>
      <c r="D15" s="81">
        <v>0.21</v>
      </c>
      <c r="E15" s="79" t="s">
        <v>86</v>
      </c>
      <c r="F15" s="79">
        <v>1</v>
      </c>
      <c r="G15" s="79">
        <f t="shared" si="0"/>
        <v>1.26</v>
      </c>
      <c r="H15" s="80"/>
    </row>
    <row r="16" spans="1:8" ht="24.75" customHeight="1">
      <c r="A16" s="78">
        <v>7</v>
      </c>
      <c r="B16" s="78" t="s">
        <v>97</v>
      </c>
      <c r="C16" s="78" t="s">
        <v>98</v>
      </c>
      <c r="D16" s="81">
        <v>0.94799999999999995</v>
      </c>
      <c r="E16" s="79" t="s">
        <v>86</v>
      </c>
      <c r="F16" s="79">
        <v>1</v>
      </c>
      <c r="G16" s="79">
        <f t="shared" si="0"/>
        <v>5.6879999999999997</v>
      </c>
      <c r="H16" s="80"/>
    </row>
    <row r="17" spans="1:8" ht="24.75" customHeight="1">
      <c r="A17" s="78">
        <v>8</v>
      </c>
      <c r="B17" s="78" t="s">
        <v>99</v>
      </c>
      <c r="C17" s="87" t="s">
        <v>100</v>
      </c>
      <c r="D17" s="81">
        <v>0.27800000000000002</v>
      </c>
      <c r="E17" s="79" t="s">
        <v>86</v>
      </c>
      <c r="F17" s="79">
        <v>12</v>
      </c>
      <c r="G17" s="79">
        <f t="shared" si="0"/>
        <v>20.016000000000002</v>
      </c>
      <c r="H17" s="80"/>
    </row>
    <row r="18" spans="1:8" ht="24.75" customHeight="1">
      <c r="A18" s="78">
        <v>9</v>
      </c>
      <c r="B18" s="78" t="s">
        <v>101</v>
      </c>
      <c r="C18" s="78" t="s">
        <v>102</v>
      </c>
      <c r="D18" s="81">
        <v>1.425</v>
      </c>
      <c r="E18" s="79" t="s">
        <v>86</v>
      </c>
      <c r="F18" s="79">
        <v>5</v>
      </c>
      <c r="G18" s="79">
        <f t="shared" si="0"/>
        <v>42.75</v>
      </c>
      <c r="H18" s="80"/>
    </row>
    <row r="19" spans="1:8" ht="24.75" customHeight="1">
      <c r="A19" s="78">
        <v>10</v>
      </c>
      <c r="B19" s="78" t="s">
        <v>103</v>
      </c>
      <c r="C19" s="78" t="s">
        <v>104</v>
      </c>
      <c r="D19" s="81">
        <v>1.2350000000000001</v>
      </c>
      <c r="E19" s="79" t="s">
        <v>86</v>
      </c>
      <c r="F19" s="79">
        <v>8</v>
      </c>
      <c r="G19" s="79">
        <f t="shared" si="0"/>
        <v>59.28</v>
      </c>
      <c r="H19" s="80"/>
    </row>
    <row r="20" spans="1:8" ht="24.75" customHeight="1">
      <c r="A20" s="78">
        <v>11</v>
      </c>
      <c r="B20" s="78" t="s">
        <v>105</v>
      </c>
      <c r="C20" s="78" t="s">
        <v>106</v>
      </c>
      <c r="D20" s="81">
        <v>1.1419999999999999</v>
      </c>
      <c r="E20" s="79" t="s">
        <v>86</v>
      </c>
      <c r="F20" s="79">
        <v>1</v>
      </c>
      <c r="G20" s="79">
        <f t="shared" si="0"/>
        <v>6.8519999999999994</v>
      </c>
      <c r="H20" s="80"/>
    </row>
    <row r="21" spans="1:8" ht="24.75" customHeight="1">
      <c r="A21" s="78">
        <v>12</v>
      </c>
      <c r="B21" s="78" t="s">
        <v>107</v>
      </c>
      <c r="C21" s="78" t="s">
        <v>108</v>
      </c>
      <c r="D21" s="81">
        <v>0.443</v>
      </c>
      <c r="E21" s="79" t="s">
        <v>86</v>
      </c>
      <c r="F21" s="79">
        <v>3</v>
      </c>
      <c r="G21" s="79">
        <f t="shared" si="0"/>
        <v>7.9740000000000002</v>
      </c>
      <c r="H21" s="80"/>
    </row>
    <row r="22" spans="1:8" ht="24.75" customHeight="1">
      <c r="A22" s="78">
        <v>13</v>
      </c>
      <c r="B22" s="78" t="s">
        <v>109</v>
      </c>
      <c r="C22" s="78" t="s">
        <v>110</v>
      </c>
      <c r="D22" s="81">
        <v>0.29299999999999998</v>
      </c>
      <c r="E22" s="79" t="s">
        <v>86</v>
      </c>
      <c r="F22" s="79">
        <v>3</v>
      </c>
      <c r="G22" s="79">
        <f t="shared" si="0"/>
        <v>5.274</v>
      </c>
      <c r="H22" s="80"/>
    </row>
    <row r="23" spans="1:8" ht="24.75" customHeight="1">
      <c r="A23" s="78">
        <v>14</v>
      </c>
      <c r="B23" s="78" t="s">
        <v>111</v>
      </c>
      <c r="C23" s="78" t="s">
        <v>112</v>
      </c>
      <c r="D23" s="81">
        <v>0.22</v>
      </c>
      <c r="E23" s="79" t="s">
        <v>86</v>
      </c>
      <c r="F23" s="79">
        <v>6</v>
      </c>
      <c r="G23" s="79">
        <f t="shared" si="0"/>
        <v>7.92</v>
      </c>
      <c r="H23" s="80"/>
    </row>
    <row r="24" spans="1:8" ht="24.75" customHeight="1">
      <c r="A24" s="78">
        <v>15</v>
      </c>
      <c r="B24" s="78" t="s">
        <v>113</v>
      </c>
      <c r="C24" s="78" t="s">
        <v>114</v>
      </c>
      <c r="D24" s="81">
        <v>0.2</v>
      </c>
      <c r="E24" s="79" t="s">
        <v>86</v>
      </c>
      <c r="F24" s="79">
        <v>3</v>
      </c>
      <c r="G24" s="79">
        <f t="shared" si="0"/>
        <v>3.6</v>
      </c>
      <c r="H24" s="80"/>
    </row>
    <row r="25" spans="1:8" ht="24.75" customHeight="1">
      <c r="A25" s="78">
        <v>16</v>
      </c>
      <c r="B25" s="78" t="s">
        <v>115</v>
      </c>
      <c r="C25" s="78" t="s">
        <v>116</v>
      </c>
      <c r="D25" s="81">
        <v>0.80500000000000005</v>
      </c>
      <c r="E25" s="79" t="s">
        <v>86</v>
      </c>
      <c r="F25" s="79">
        <v>8</v>
      </c>
      <c r="G25" s="79">
        <f t="shared" si="0"/>
        <v>38.64</v>
      </c>
      <c r="H25" s="80"/>
    </row>
    <row r="26" spans="1:8" ht="24.75" customHeight="1">
      <c r="A26" s="78">
        <v>17</v>
      </c>
      <c r="B26" s="78" t="s">
        <v>117</v>
      </c>
      <c r="C26" s="78" t="s">
        <v>118</v>
      </c>
      <c r="D26" s="81">
        <v>0.27200000000000002</v>
      </c>
      <c r="E26" s="79" t="s">
        <v>86</v>
      </c>
      <c r="F26" s="79">
        <v>12</v>
      </c>
      <c r="G26" s="79">
        <f t="shared" si="0"/>
        <v>19.584000000000003</v>
      </c>
      <c r="H26" s="80"/>
    </row>
    <row r="27" spans="1:8" ht="24.75" customHeight="1">
      <c r="A27" s="78">
        <v>18</v>
      </c>
      <c r="B27" s="78" t="s">
        <v>119</v>
      </c>
      <c r="C27" s="78" t="s">
        <v>120</v>
      </c>
      <c r="D27" s="81">
        <v>0.84799999999999998</v>
      </c>
      <c r="E27" s="79" t="s">
        <v>86</v>
      </c>
      <c r="F27" s="79">
        <v>9</v>
      </c>
      <c r="G27" s="79">
        <f t="shared" si="0"/>
        <v>45.792000000000002</v>
      </c>
      <c r="H27" s="80"/>
    </row>
    <row r="28" spans="1:8" ht="24.75" customHeight="1">
      <c r="A28" s="78">
        <v>19</v>
      </c>
      <c r="B28" s="78" t="s">
        <v>137</v>
      </c>
      <c r="C28" s="78" t="s">
        <v>138</v>
      </c>
      <c r="D28" s="81">
        <v>0.76</v>
      </c>
      <c r="E28" s="79" t="s">
        <v>86</v>
      </c>
      <c r="F28" s="79">
        <v>2</v>
      </c>
      <c r="G28" s="79">
        <f t="shared" si="0"/>
        <v>9.120000000000001</v>
      </c>
      <c r="H28" s="80"/>
    </row>
    <row r="29" spans="1:8" ht="24.75" customHeight="1">
      <c r="A29" s="78">
        <v>20</v>
      </c>
      <c r="B29" s="78" t="s">
        <v>124</v>
      </c>
      <c r="C29" s="78" t="s">
        <v>125</v>
      </c>
      <c r="D29" s="81">
        <v>1.1259999999999999</v>
      </c>
      <c r="E29" s="79" t="s">
        <v>86</v>
      </c>
      <c r="F29" s="79">
        <v>10</v>
      </c>
      <c r="G29" s="79">
        <f t="shared" si="0"/>
        <v>67.559999999999988</v>
      </c>
      <c r="H29" s="80"/>
    </row>
    <row r="30" spans="1:8" ht="24.75" customHeight="1">
      <c r="A30" s="78">
        <v>21</v>
      </c>
      <c r="B30" s="78" t="s">
        <v>126</v>
      </c>
      <c r="C30" s="78" t="s">
        <v>123</v>
      </c>
      <c r="D30" s="81">
        <v>1.125</v>
      </c>
      <c r="E30" s="79" t="s">
        <v>86</v>
      </c>
      <c r="F30" s="79">
        <v>5</v>
      </c>
      <c r="G30" s="79">
        <f t="shared" si="0"/>
        <v>33.75</v>
      </c>
      <c r="H30" s="80"/>
    </row>
    <row r="31" spans="1:8" ht="24.75" customHeight="1">
      <c r="A31" s="78">
        <v>22</v>
      </c>
      <c r="B31" s="78" t="s">
        <v>127</v>
      </c>
      <c r="C31" s="78" t="s">
        <v>128</v>
      </c>
      <c r="D31" s="81">
        <v>1.5049999999999999</v>
      </c>
      <c r="E31" s="79" t="s">
        <v>86</v>
      </c>
      <c r="F31" s="79">
        <v>10</v>
      </c>
      <c r="G31" s="79">
        <f t="shared" si="0"/>
        <v>90.3</v>
      </c>
      <c r="H31" s="80"/>
    </row>
    <row r="32" spans="1:8" ht="24.75" customHeight="1">
      <c r="A32" s="78">
        <v>23</v>
      </c>
      <c r="B32" s="78" t="s">
        <v>129</v>
      </c>
      <c r="C32" s="78" t="s">
        <v>122</v>
      </c>
      <c r="D32" s="81">
        <v>0.84899999999999998</v>
      </c>
      <c r="E32" s="79" t="s">
        <v>86</v>
      </c>
      <c r="F32" s="79">
        <v>2</v>
      </c>
      <c r="G32" s="79">
        <f t="shared" si="0"/>
        <v>10.187999999999999</v>
      </c>
      <c r="H32" s="80"/>
    </row>
    <row r="33" spans="1:11" ht="24.75" customHeight="1">
      <c r="A33" s="78">
        <v>24</v>
      </c>
      <c r="B33" s="78" t="s">
        <v>130</v>
      </c>
      <c r="C33" s="78" t="s">
        <v>131</v>
      </c>
      <c r="D33" s="81">
        <v>0.96599999999999997</v>
      </c>
      <c r="E33" s="79" t="s">
        <v>86</v>
      </c>
      <c r="F33" s="79">
        <v>1</v>
      </c>
      <c r="G33" s="79">
        <f t="shared" si="0"/>
        <v>5.7959999999999994</v>
      </c>
      <c r="H33" s="80"/>
    </row>
    <row r="34" spans="1:11" ht="24.75" customHeight="1">
      <c r="A34" s="78">
        <v>25</v>
      </c>
      <c r="B34" s="78" t="s">
        <v>132</v>
      </c>
      <c r="C34" s="78" t="s">
        <v>133</v>
      </c>
      <c r="D34" s="81">
        <v>0.89800000000000002</v>
      </c>
      <c r="E34" s="79" t="s">
        <v>86</v>
      </c>
      <c r="F34" s="79">
        <v>2</v>
      </c>
      <c r="G34" s="79">
        <f t="shared" si="0"/>
        <v>10.776</v>
      </c>
      <c r="H34" s="80"/>
    </row>
    <row r="35" spans="1:11" ht="24.75" customHeight="1">
      <c r="A35" s="78">
        <v>26</v>
      </c>
      <c r="B35" s="78" t="s">
        <v>134</v>
      </c>
      <c r="C35" s="78" t="s">
        <v>121</v>
      </c>
      <c r="D35" s="81">
        <v>1.01</v>
      </c>
      <c r="E35" s="79" t="s">
        <v>86</v>
      </c>
      <c r="F35" s="79">
        <v>2</v>
      </c>
      <c r="G35" s="79">
        <f t="shared" si="0"/>
        <v>12.120000000000001</v>
      </c>
      <c r="H35" s="80"/>
    </row>
    <row r="36" spans="1:11" ht="24.75" customHeight="1">
      <c r="A36" s="78">
        <v>27</v>
      </c>
      <c r="B36" s="78" t="s">
        <v>135</v>
      </c>
      <c r="C36" s="78" t="s">
        <v>136</v>
      </c>
      <c r="D36" s="81">
        <v>0.31</v>
      </c>
      <c r="E36" s="79" t="s">
        <v>86</v>
      </c>
      <c r="F36" s="79">
        <f>F31+F29</f>
        <v>20</v>
      </c>
      <c r="G36" s="79">
        <f t="shared" si="0"/>
        <v>37.200000000000003</v>
      </c>
      <c r="H36" s="80"/>
    </row>
    <row r="37" spans="1:11" ht="30" customHeight="1">
      <c r="A37" s="21"/>
      <c r="B37" s="96"/>
      <c r="C37" s="97"/>
      <c r="D37" s="22"/>
      <c r="E37" s="21"/>
      <c r="F37" s="21"/>
      <c r="G37" s="23">
        <f>SUM(G10:G36)</f>
        <v>697.21199999999988</v>
      </c>
      <c r="H37" s="24"/>
    </row>
    <row r="38" spans="1:11" ht="6" customHeight="1">
      <c r="A38" s="3"/>
      <c r="B38" s="4"/>
      <c r="C38" s="4"/>
      <c r="D38" s="4"/>
      <c r="E38" s="4"/>
      <c r="F38" s="4"/>
      <c r="G38" s="4"/>
    </row>
    <row r="39" spans="1:11" ht="20.25" customHeight="1">
      <c r="A39" s="9"/>
      <c r="B39" s="10"/>
      <c r="C39" s="98" t="s">
        <v>54</v>
      </c>
      <c r="D39" s="98"/>
      <c r="E39" s="98"/>
      <c r="F39" s="98"/>
      <c r="G39" s="98"/>
    </row>
    <row r="40" spans="1:11" ht="5.25" customHeight="1">
      <c r="A40" s="3"/>
      <c r="B40" s="4"/>
      <c r="C40" s="4"/>
      <c r="D40" s="4"/>
      <c r="E40" s="4"/>
      <c r="F40" s="4"/>
      <c r="G40" s="4"/>
    </row>
    <row r="41" spans="1:11" ht="17.25" customHeight="1">
      <c r="A41" s="6" t="s">
        <v>10</v>
      </c>
      <c r="B41" s="6"/>
      <c r="C41" s="6"/>
      <c r="D41" s="6"/>
      <c r="E41" s="6"/>
      <c r="F41" s="6"/>
      <c r="G41" s="6"/>
      <c r="H41" s="11"/>
      <c r="I41" s="12"/>
    </row>
    <row r="42" spans="1:11" s="1" customFormat="1" ht="17.25" customHeight="1">
      <c r="A42" s="14" t="s">
        <v>11</v>
      </c>
      <c r="H42" s="13"/>
      <c r="I42" s="13"/>
      <c r="K42"/>
    </row>
    <row r="43" spans="1:11" ht="20.25" customHeight="1">
      <c r="A43" s="4"/>
      <c r="B43" s="4"/>
      <c r="C43" s="4"/>
      <c r="D43" s="4"/>
      <c r="E43" s="4"/>
      <c r="F43" s="4"/>
      <c r="G43" s="4"/>
      <c r="K43" s="1"/>
    </row>
    <row r="44" spans="1:11" ht="26.25" customHeight="1">
      <c r="A44" s="3"/>
      <c r="B44" s="4"/>
      <c r="C44" s="4"/>
      <c r="D44" s="4"/>
      <c r="E44" s="4"/>
      <c r="F44" s="4"/>
      <c r="G44" s="4"/>
    </row>
    <row r="45" spans="1:11" ht="26.25" customHeight="1">
      <c r="A45" s="3"/>
      <c r="B45" s="4"/>
      <c r="C45" s="4"/>
      <c r="D45" s="4"/>
      <c r="E45" s="4"/>
      <c r="F45" s="4"/>
      <c r="G45" s="4"/>
    </row>
    <row r="46" spans="1:11" ht="26.25" customHeight="1">
      <c r="A46" s="3"/>
      <c r="B46" s="4"/>
      <c r="C46" s="4"/>
      <c r="D46" s="4"/>
      <c r="E46" s="4"/>
      <c r="F46" s="4"/>
      <c r="G46" s="4"/>
    </row>
    <row r="47" spans="1:11" ht="26.25" customHeight="1">
      <c r="A47" s="3"/>
      <c r="B47" s="4"/>
      <c r="C47" s="4"/>
      <c r="D47" s="4"/>
      <c r="E47" s="4"/>
      <c r="F47" s="4"/>
      <c r="G47" s="4"/>
    </row>
    <row r="48" spans="1:11" ht="26.25" customHeight="1">
      <c r="A48" s="3"/>
      <c r="B48" s="4"/>
      <c r="C48" s="4"/>
      <c r="D48" s="4"/>
      <c r="E48" s="4"/>
      <c r="F48" s="4"/>
      <c r="G48" s="4"/>
    </row>
    <row r="49" spans="1:7" ht="26.25" customHeight="1">
      <c r="A49" s="3"/>
      <c r="B49" s="4"/>
      <c r="C49" s="4"/>
      <c r="D49" s="4"/>
      <c r="E49" s="4"/>
      <c r="F49" s="4"/>
      <c r="G49" s="4"/>
    </row>
    <row r="50" spans="1:7" ht="15.75">
      <c r="A50" s="3"/>
      <c r="B50" s="4"/>
      <c r="C50" s="4"/>
      <c r="D50" s="4"/>
      <c r="E50" s="4"/>
      <c r="F50" s="4"/>
      <c r="G50" s="4"/>
    </row>
    <row r="51" spans="1:7" ht="15.75">
      <c r="A51" s="3"/>
      <c r="B51" s="4"/>
      <c r="C51" s="4"/>
      <c r="D51" s="4"/>
      <c r="E51" s="4"/>
      <c r="F51" s="4"/>
      <c r="G51" s="4"/>
    </row>
    <row r="52" spans="1:7" ht="15.75">
      <c r="A52" s="3"/>
      <c r="B52" s="4"/>
      <c r="C52" s="4"/>
      <c r="D52" s="4"/>
      <c r="E52" s="4"/>
      <c r="F52" s="4"/>
      <c r="G52" s="4"/>
    </row>
    <row r="53" spans="1:7" ht="15.75">
      <c r="A53" s="3"/>
      <c r="B53" s="4"/>
      <c r="C53" s="4"/>
      <c r="D53" s="4"/>
      <c r="E53" s="4"/>
      <c r="F53" s="4"/>
      <c r="G53" s="4"/>
    </row>
    <row r="54" spans="1:7" ht="15.75">
      <c r="A54" s="3"/>
      <c r="B54" s="4"/>
      <c r="C54" s="4"/>
      <c r="D54" s="4"/>
      <c r="E54" s="4"/>
      <c r="F54" s="4"/>
      <c r="G54" s="4"/>
    </row>
    <row r="55" spans="1:7" ht="15.75">
      <c r="A55" s="3"/>
      <c r="B55" s="4"/>
      <c r="C55" s="4"/>
      <c r="D55" s="4"/>
      <c r="E55" s="4"/>
      <c r="F55" s="4"/>
      <c r="G55" s="4"/>
    </row>
    <row r="56" spans="1:7">
      <c r="A56"/>
    </row>
    <row r="57" spans="1:7">
      <c r="A57"/>
    </row>
  </sheetData>
  <mergeCells count="4">
    <mergeCell ref="A1:G1"/>
    <mergeCell ref="B2:G2"/>
    <mergeCell ref="B37:C37"/>
    <mergeCell ref="C39:G39"/>
  </mergeCells>
  <pageMargins left="0.42" right="0.46" top="0.22" bottom="0.75" header="0.19" footer="0.66"/>
  <pageSetup paperSize="9" scale="9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opLeftCell="A25" zoomScale="154" zoomScaleNormal="154" workbookViewId="0">
      <selection activeCell="C30" sqref="C30:H30"/>
    </sheetView>
  </sheetViews>
  <sheetFormatPr defaultRowHeight="15"/>
  <cols>
    <col min="1" max="1" width="5.5703125" customWidth="1"/>
    <col min="2" max="2" width="11.7109375" customWidth="1"/>
    <col min="3" max="3" width="24.7109375" customWidth="1"/>
    <col min="4" max="4" width="9.7109375" customWidth="1"/>
    <col min="6" max="6" width="9.28515625" customWidth="1"/>
    <col min="7" max="8" width="8.140625" customWidth="1"/>
  </cols>
  <sheetData>
    <row r="1" spans="1:10" ht="15.75">
      <c r="A1" s="94" t="s">
        <v>19</v>
      </c>
      <c r="B1" s="94"/>
      <c r="C1" s="94"/>
      <c r="D1" s="94"/>
      <c r="E1" s="94"/>
      <c r="F1" s="94"/>
      <c r="G1" s="94"/>
      <c r="H1" s="94"/>
    </row>
    <row r="2" spans="1:10" ht="15.75">
      <c r="A2" s="7"/>
      <c r="B2" s="95" t="s">
        <v>62</v>
      </c>
      <c r="C2" s="95"/>
      <c r="D2" s="95"/>
      <c r="E2" s="95"/>
      <c r="F2" s="95"/>
      <c r="G2" s="95"/>
      <c r="H2" s="95"/>
    </row>
    <row r="3" spans="1:10" ht="21" customHeight="1">
      <c r="A3" s="15" t="s">
        <v>81</v>
      </c>
      <c r="B3" s="5"/>
      <c r="C3" s="5"/>
      <c r="D3" s="5"/>
      <c r="E3" s="5"/>
      <c r="F3" s="5"/>
      <c r="G3" s="5"/>
      <c r="H3" s="5"/>
      <c r="I3" s="5"/>
      <c r="J3" s="5"/>
    </row>
    <row r="4" spans="1:10" ht="21" customHeight="1">
      <c r="A4" s="15" t="s">
        <v>82</v>
      </c>
      <c r="B4" s="5"/>
      <c r="C4" s="5"/>
      <c r="D4" s="5"/>
      <c r="E4" s="5"/>
      <c r="F4" s="5"/>
      <c r="G4" s="5"/>
      <c r="H4" s="5"/>
      <c r="I4" s="5"/>
      <c r="J4" s="5"/>
    </row>
    <row r="5" spans="1:10" ht="21" customHeight="1">
      <c r="A5" s="15" t="s">
        <v>20</v>
      </c>
      <c r="B5" s="5"/>
      <c r="C5" s="5"/>
      <c r="D5" s="5"/>
      <c r="E5" s="5"/>
      <c r="F5" s="5"/>
      <c r="G5" s="5"/>
      <c r="H5" s="5"/>
      <c r="I5" s="5"/>
      <c r="J5" s="5"/>
    </row>
    <row r="6" spans="1:10" ht="21" customHeight="1">
      <c r="A6" s="16" t="s">
        <v>29</v>
      </c>
      <c r="B6" s="17"/>
      <c r="C6" s="5"/>
      <c r="D6" s="5"/>
      <c r="E6" s="5"/>
      <c r="F6" s="5"/>
      <c r="G6" s="5"/>
      <c r="H6" s="5"/>
      <c r="I6" s="5"/>
      <c r="J6" s="5"/>
    </row>
    <row r="7" spans="1:10" ht="21" customHeight="1">
      <c r="A7" s="15" t="s">
        <v>83</v>
      </c>
      <c r="B7" s="5"/>
      <c r="C7" s="5"/>
      <c r="D7" s="5"/>
      <c r="E7" s="5"/>
      <c r="F7" s="5"/>
      <c r="G7" s="5"/>
      <c r="H7" s="5"/>
      <c r="I7" s="5"/>
      <c r="J7" s="5"/>
    </row>
    <row r="8" spans="1:10" ht="15.75">
      <c r="A8" s="7"/>
      <c r="B8" s="7"/>
      <c r="C8" s="7"/>
      <c r="D8" s="7"/>
      <c r="E8" s="7"/>
      <c r="F8" s="7"/>
      <c r="G8" s="7"/>
      <c r="H8" s="8"/>
      <c r="I8" s="2"/>
      <c r="J8" s="2"/>
    </row>
    <row r="9" spans="1:10" ht="25.5">
      <c r="A9" s="18" t="s">
        <v>0</v>
      </c>
      <c r="B9" s="18" t="s">
        <v>21</v>
      </c>
      <c r="C9" s="18" t="s">
        <v>22</v>
      </c>
      <c r="D9" s="19" t="s">
        <v>23</v>
      </c>
      <c r="E9" s="19" t="s">
        <v>24</v>
      </c>
      <c r="F9" s="19" t="s">
        <v>25</v>
      </c>
      <c r="G9" s="19" t="s">
        <v>30</v>
      </c>
      <c r="H9" s="19" t="s">
        <v>26</v>
      </c>
    </row>
    <row r="10" spans="1:10" ht="27.75" customHeight="1">
      <c r="A10" s="25">
        <v>1</v>
      </c>
      <c r="B10" s="40" t="s">
        <v>63</v>
      </c>
      <c r="C10" s="40" t="s">
        <v>64</v>
      </c>
      <c r="D10" s="41">
        <v>466</v>
      </c>
      <c r="E10" s="25">
        <v>582</v>
      </c>
      <c r="F10" s="25" t="s">
        <v>65</v>
      </c>
      <c r="G10" s="42">
        <v>2</v>
      </c>
      <c r="H10" s="42">
        <f>(D10/1000)*(E10/1000)*G10</f>
        <v>0.54242400000000002</v>
      </c>
      <c r="I10" s="43"/>
      <c r="J10" s="43"/>
    </row>
    <row r="11" spans="1:10" ht="27.75" customHeight="1">
      <c r="A11" s="25">
        <v>2</v>
      </c>
      <c r="B11" s="40" t="s">
        <v>66</v>
      </c>
      <c r="C11" s="40" t="s">
        <v>64</v>
      </c>
      <c r="D11" s="83">
        <v>636</v>
      </c>
      <c r="E11" s="25">
        <v>1101</v>
      </c>
      <c r="F11" s="25" t="s">
        <v>65</v>
      </c>
      <c r="G11" s="42">
        <v>2</v>
      </c>
      <c r="H11" s="42">
        <f t="shared" ref="H11:H27" si="0">(D11/1000)*(E11/1000)*G11</f>
        <v>1.4004719999999999</v>
      </c>
      <c r="I11" s="43"/>
      <c r="J11" s="43"/>
    </row>
    <row r="12" spans="1:10" ht="27.75" customHeight="1">
      <c r="A12" s="25">
        <v>3</v>
      </c>
      <c r="B12" s="40" t="s">
        <v>67</v>
      </c>
      <c r="C12" s="40" t="s">
        <v>64</v>
      </c>
      <c r="D12" s="83">
        <v>286</v>
      </c>
      <c r="E12" s="25">
        <v>466</v>
      </c>
      <c r="F12" s="25" t="s">
        <v>65</v>
      </c>
      <c r="G12" s="42">
        <v>2</v>
      </c>
      <c r="H12" s="42">
        <f t="shared" si="0"/>
        <v>0.26655200000000001</v>
      </c>
      <c r="I12" s="43"/>
      <c r="J12" s="43"/>
    </row>
    <row r="13" spans="1:10" ht="27.75" customHeight="1">
      <c r="A13" s="25">
        <v>4</v>
      </c>
      <c r="B13" s="40" t="s">
        <v>67</v>
      </c>
      <c r="C13" s="40" t="s">
        <v>64</v>
      </c>
      <c r="D13" s="83">
        <v>449</v>
      </c>
      <c r="E13" s="25">
        <v>781</v>
      </c>
      <c r="F13" s="25" t="s">
        <v>65</v>
      </c>
      <c r="G13" s="42">
        <v>2</v>
      </c>
      <c r="H13" s="42">
        <f t="shared" si="0"/>
        <v>0.70133800000000002</v>
      </c>
      <c r="I13" s="43"/>
      <c r="J13" s="43"/>
    </row>
    <row r="14" spans="1:10" ht="27.75" customHeight="1">
      <c r="A14" s="25">
        <v>5</v>
      </c>
      <c r="B14" s="40" t="s">
        <v>68</v>
      </c>
      <c r="C14" s="40" t="s">
        <v>64</v>
      </c>
      <c r="D14" s="83">
        <v>666</v>
      </c>
      <c r="E14" s="25">
        <v>2232</v>
      </c>
      <c r="F14" s="25" t="s">
        <v>65</v>
      </c>
      <c r="G14" s="42">
        <v>2</v>
      </c>
      <c r="H14" s="42">
        <f t="shared" si="0"/>
        <v>2.9730240000000006</v>
      </c>
      <c r="I14" s="43"/>
      <c r="J14" s="43"/>
    </row>
    <row r="15" spans="1:10" ht="27.75" customHeight="1">
      <c r="A15" s="25">
        <v>6</v>
      </c>
      <c r="B15" s="40" t="s">
        <v>69</v>
      </c>
      <c r="C15" s="40" t="s">
        <v>64</v>
      </c>
      <c r="D15" s="83">
        <v>595</v>
      </c>
      <c r="E15" s="25">
        <v>2218</v>
      </c>
      <c r="F15" s="25" t="s">
        <v>65</v>
      </c>
      <c r="G15" s="42">
        <v>2</v>
      </c>
      <c r="H15" s="42">
        <f t="shared" si="0"/>
        <v>2.6394199999999999</v>
      </c>
      <c r="I15" s="43"/>
      <c r="J15" s="43"/>
    </row>
    <row r="16" spans="1:10" ht="27.75" customHeight="1">
      <c r="A16" s="25">
        <v>7</v>
      </c>
      <c r="B16" s="40" t="s">
        <v>70</v>
      </c>
      <c r="C16" s="40" t="s">
        <v>64</v>
      </c>
      <c r="D16" s="83">
        <v>1510</v>
      </c>
      <c r="E16" s="25">
        <v>378</v>
      </c>
      <c r="F16" s="25" t="s">
        <v>65</v>
      </c>
      <c r="G16" s="42">
        <v>1</v>
      </c>
      <c r="H16" s="42">
        <f t="shared" si="0"/>
        <v>0.57077999999999995</v>
      </c>
      <c r="I16" s="43"/>
      <c r="J16" s="43"/>
    </row>
    <row r="17" spans="1:10" ht="27.75" customHeight="1">
      <c r="A17" s="25">
        <v>8</v>
      </c>
      <c r="B17" s="40" t="s">
        <v>70</v>
      </c>
      <c r="C17" s="40" t="s">
        <v>64</v>
      </c>
      <c r="D17" s="83">
        <v>629</v>
      </c>
      <c r="E17" s="25">
        <v>1216</v>
      </c>
      <c r="F17" s="25" t="s">
        <v>65</v>
      </c>
      <c r="G17" s="42">
        <v>2</v>
      </c>
      <c r="H17" s="42">
        <f t="shared" si="0"/>
        <v>1.529728</v>
      </c>
      <c r="I17" s="43"/>
      <c r="J17" s="43"/>
    </row>
    <row r="18" spans="1:10" ht="27.75" customHeight="1">
      <c r="A18" s="25">
        <v>9</v>
      </c>
      <c r="B18" s="40" t="s">
        <v>70</v>
      </c>
      <c r="C18" s="40" t="s">
        <v>64</v>
      </c>
      <c r="D18" s="83">
        <v>750</v>
      </c>
      <c r="E18" s="25">
        <v>928</v>
      </c>
      <c r="F18" s="25" t="s">
        <v>65</v>
      </c>
      <c r="G18" s="42">
        <v>2</v>
      </c>
      <c r="H18" s="42">
        <f t="shared" si="0"/>
        <v>1.3920000000000001</v>
      </c>
      <c r="I18" s="43"/>
      <c r="J18" s="43"/>
    </row>
    <row r="19" spans="1:10" ht="27.75" customHeight="1">
      <c r="A19" s="25">
        <v>10</v>
      </c>
      <c r="B19" s="40" t="s">
        <v>71</v>
      </c>
      <c r="C19" s="40" t="s">
        <v>64</v>
      </c>
      <c r="D19" s="83">
        <v>595</v>
      </c>
      <c r="E19" s="25">
        <v>2230</v>
      </c>
      <c r="F19" s="25" t="s">
        <v>65</v>
      </c>
      <c r="G19" s="42">
        <v>2</v>
      </c>
      <c r="H19" s="42">
        <f t="shared" si="0"/>
        <v>2.6536999999999997</v>
      </c>
      <c r="I19" s="43"/>
      <c r="J19" s="43"/>
    </row>
    <row r="20" spans="1:10" ht="27.75" customHeight="1">
      <c r="A20" s="25">
        <v>11</v>
      </c>
      <c r="B20" s="40" t="s">
        <v>72</v>
      </c>
      <c r="C20" s="40" t="s">
        <v>64</v>
      </c>
      <c r="D20" s="83">
        <v>666</v>
      </c>
      <c r="E20" s="25">
        <v>2224</v>
      </c>
      <c r="F20" s="25" t="s">
        <v>65</v>
      </c>
      <c r="G20" s="42">
        <v>2</v>
      </c>
      <c r="H20" s="42">
        <f t="shared" si="0"/>
        <v>2.9623680000000006</v>
      </c>
      <c r="I20" s="43"/>
      <c r="J20" s="43"/>
    </row>
    <row r="21" spans="1:10" ht="27.75" customHeight="1">
      <c r="A21" s="25">
        <v>12</v>
      </c>
      <c r="B21" s="40" t="s">
        <v>73</v>
      </c>
      <c r="C21" s="40" t="s">
        <v>64</v>
      </c>
      <c r="D21" s="83">
        <v>594</v>
      </c>
      <c r="E21" s="25">
        <v>2208</v>
      </c>
      <c r="F21" s="25" t="s">
        <v>65</v>
      </c>
      <c r="G21" s="42">
        <v>2</v>
      </c>
      <c r="H21" s="42">
        <f t="shared" si="0"/>
        <v>2.6231040000000001</v>
      </c>
      <c r="I21" s="43"/>
      <c r="J21" s="43"/>
    </row>
    <row r="22" spans="1:10" ht="27.75" customHeight="1">
      <c r="A22" s="25">
        <v>13</v>
      </c>
      <c r="B22" s="40" t="s">
        <v>74</v>
      </c>
      <c r="C22" s="40" t="s">
        <v>64</v>
      </c>
      <c r="D22" s="83">
        <v>1518</v>
      </c>
      <c r="E22" s="25">
        <v>928</v>
      </c>
      <c r="F22" s="25" t="s">
        <v>65</v>
      </c>
      <c r="G22" s="42">
        <v>1</v>
      </c>
      <c r="H22" s="42">
        <f t="shared" si="0"/>
        <v>1.4087040000000002</v>
      </c>
      <c r="I22" s="43"/>
      <c r="J22" s="43"/>
    </row>
    <row r="23" spans="1:10" ht="27.75" customHeight="1">
      <c r="A23" s="25">
        <v>14</v>
      </c>
      <c r="B23" s="40" t="s">
        <v>75</v>
      </c>
      <c r="C23" s="40" t="s">
        <v>64</v>
      </c>
      <c r="D23" s="83">
        <v>594</v>
      </c>
      <c r="E23" s="25">
        <v>2218</v>
      </c>
      <c r="F23" s="25" t="s">
        <v>65</v>
      </c>
      <c r="G23" s="42">
        <v>2</v>
      </c>
      <c r="H23" s="42">
        <f t="shared" si="0"/>
        <v>2.6349839999999998</v>
      </c>
      <c r="I23" s="43"/>
      <c r="J23" s="43"/>
    </row>
    <row r="24" spans="1:10" ht="27.75" customHeight="1">
      <c r="A24" s="25">
        <v>15</v>
      </c>
      <c r="B24" s="40" t="s">
        <v>76</v>
      </c>
      <c r="C24" s="40" t="s">
        <v>64</v>
      </c>
      <c r="D24" s="83">
        <v>664</v>
      </c>
      <c r="E24" s="25">
        <v>2236</v>
      </c>
      <c r="F24" s="25" t="s">
        <v>65</v>
      </c>
      <c r="G24" s="42">
        <v>2</v>
      </c>
      <c r="H24" s="42">
        <f t="shared" si="0"/>
        <v>2.9694080000000005</v>
      </c>
      <c r="I24" s="43"/>
      <c r="J24" s="43"/>
    </row>
    <row r="25" spans="1:10" ht="27.75" customHeight="1">
      <c r="A25" s="25">
        <v>16</v>
      </c>
      <c r="B25" s="40" t="s">
        <v>77</v>
      </c>
      <c r="C25" s="40" t="s">
        <v>64</v>
      </c>
      <c r="D25" s="83">
        <v>478</v>
      </c>
      <c r="E25" s="25">
        <v>864</v>
      </c>
      <c r="F25" s="25" t="s">
        <v>65</v>
      </c>
      <c r="G25" s="42">
        <v>1</v>
      </c>
      <c r="H25" s="42">
        <f t="shared" si="0"/>
        <v>0.41299199999999997</v>
      </c>
      <c r="I25" s="43"/>
      <c r="J25" s="43"/>
    </row>
    <row r="26" spans="1:10" ht="27.75" customHeight="1">
      <c r="A26" s="25">
        <v>17</v>
      </c>
      <c r="B26" s="40" t="s">
        <v>78</v>
      </c>
      <c r="C26" s="40" t="s">
        <v>64</v>
      </c>
      <c r="D26" s="83">
        <v>477</v>
      </c>
      <c r="E26" s="25">
        <v>846</v>
      </c>
      <c r="F26" s="25" t="s">
        <v>65</v>
      </c>
      <c r="G26" s="42">
        <v>3</v>
      </c>
      <c r="H26" s="42">
        <f t="shared" si="0"/>
        <v>1.210626</v>
      </c>
      <c r="I26" s="43"/>
      <c r="J26" s="43"/>
    </row>
    <row r="27" spans="1:10" ht="27.75" customHeight="1">
      <c r="A27" s="25">
        <v>18</v>
      </c>
      <c r="B27" s="40" t="s">
        <v>79</v>
      </c>
      <c r="C27" s="40" t="s">
        <v>64</v>
      </c>
      <c r="D27" s="83">
        <v>721</v>
      </c>
      <c r="E27" s="25">
        <v>1178</v>
      </c>
      <c r="F27" s="25" t="s">
        <v>65</v>
      </c>
      <c r="G27" s="42">
        <v>1</v>
      </c>
      <c r="H27" s="42">
        <f t="shared" si="0"/>
        <v>0.84933799999999993</v>
      </c>
      <c r="I27" s="43"/>
      <c r="J27" s="43"/>
    </row>
    <row r="28" spans="1:10" ht="24.75" customHeight="1">
      <c r="A28" s="39"/>
      <c r="B28" s="103" t="s">
        <v>16</v>
      </c>
      <c r="C28" s="104"/>
      <c r="D28" s="44"/>
      <c r="E28" s="45"/>
      <c r="F28" s="45"/>
      <c r="G28" s="46">
        <f>SUM(G10:G10)</f>
        <v>2</v>
      </c>
      <c r="H28" s="46">
        <f>SUM(H10:H27)</f>
        <v>29.740962000000003</v>
      </c>
    </row>
    <row r="29" spans="1:10" ht="15.75">
      <c r="A29" s="3"/>
      <c r="B29" s="4"/>
      <c r="C29" s="4"/>
      <c r="D29" s="4"/>
      <c r="E29" s="4"/>
      <c r="F29" s="4"/>
      <c r="G29" s="4"/>
      <c r="H29" s="4"/>
    </row>
    <row r="30" spans="1:10" ht="15.75">
      <c r="A30" s="9"/>
      <c r="B30" s="10"/>
      <c r="C30" s="98" t="s">
        <v>80</v>
      </c>
      <c r="D30" s="98"/>
      <c r="E30" s="98"/>
      <c r="F30" s="98"/>
      <c r="G30" s="98"/>
      <c r="H30" s="98"/>
    </row>
    <row r="31" spans="1:10" ht="15.75">
      <c r="A31" s="3"/>
      <c r="B31" s="4"/>
      <c r="C31" s="4"/>
      <c r="D31" s="4"/>
      <c r="E31" s="4"/>
      <c r="F31" s="4"/>
      <c r="G31" s="4"/>
      <c r="H31" s="4"/>
    </row>
    <row r="32" spans="1:10" ht="15.75">
      <c r="A32" s="6" t="s">
        <v>27</v>
      </c>
      <c r="B32" s="6"/>
      <c r="C32" s="6"/>
      <c r="D32" s="6"/>
      <c r="E32" s="6"/>
      <c r="F32" s="6"/>
      <c r="G32" s="6"/>
      <c r="H32" s="6"/>
      <c r="I32" s="11"/>
      <c r="J32" s="12"/>
    </row>
    <row r="33" spans="1:10" ht="15.75">
      <c r="A33" s="14" t="s">
        <v>28</v>
      </c>
      <c r="B33" s="1"/>
      <c r="C33" s="1"/>
      <c r="D33" s="1"/>
      <c r="E33" s="1"/>
      <c r="F33" s="1"/>
      <c r="G33" s="1"/>
      <c r="H33" s="1"/>
      <c r="I33" s="13"/>
      <c r="J33" s="13"/>
    </row>
    <row r="34" spans="1:10" ht="15.75">
      <c r="A34" s="4"/>
      <c r="B34" s="4"/>
      <c r="C34" s="4"/>
      <c r="D34" s="4"/>
      <c r="E34" s="4"/>
      <c r="F34" s="4"/>
      <c r="G34" s="4"/>
      <c r="H34" s="4"/>
    </row>
    <row r="35" spans="1:10" ht="15.75">
      <c r="A35" s="3"/>
      <c r="B35" s="4"/>
      <c r="C35" s="4"/>
      <c r="D35" s="4"/>
      <c r="E35" s="4"/>
      <c r="F35" s="4"/>
      <c r="G35" s="4"/>
      <c r="H35" s="4"/>
    </row>
    <row r="36" spans="1:10" ht="15.75">
      <c r="A36" s="3"/>
      <c r="B36" s="4"/>
      <c r="C36" s="4"/>
      <c r="D36" s="4"/>
      <c r="E36" s="4"/>
      <c r="F36" s="4"/>
      <c r="G36" s="4"/>
      <c r="H36" s="4"/>
    </row>
    <row r="37" spans="1:10" ht="15.75">
      <c r="A37" s="3"/>
      <c r="B37" s="4"/>
      <c r="C37" s="4"/>
      <c r="D37" s="4"/>
      <c r="E37" s="4"/>
      <c r="F37" s="4"/>
      <c r="G37" s="4"/>
      <c r="H37" s="4"/>
    </row>
    <row r="38" spans="1:10" ht="15.75">
      <c r="A38" s="3"/>
      <c r="B38" s="4"/>
      <c r="C38" s="4"/>
      <c r="D38" s="4"/>
      <c r="E38" s="4"/>
      <c r="F38" s="4"/>
      <c r="G38" s="4"/>
      <c r="H38" s="4"/>
    </row>
  </sheetData>
  <mergeCells count="4">
    <mergeCell ref="A1:H1"/>
    <mergeCell ref="B2:H2"/>
    <mergeCell ref="B28:C28"/>
    <mergeCell ref="C30:H3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B11" sqref="B11:I12"/>
    </sheetView>
  </sheetViews>
  <sheetFormatPr defaultRowHeight="15"/>
  <cols>
    <col min="3" max="3" width="30.28515625" customWidth="1"/>
    <col min="9" max="9" width="12.85546875" customWidth="1"/>
  </cols>
  <sheetData>
    <row r="1" spans="1:11">
      <c r="A1" s="47" t="s">
        <v>31</v>
      </c>
      <c r="B1" s="48"/>
      <c r="C1" s="47"/>
      <c r="D1" s="47"/>
      <c r="E1" s="47"/>
      <c r="F1" s="49"/>
      <c r="G1" s="49"/>
      <c r="H1" s="50"/>
      <c r="I1" s="51"/>
      <c r="J1" s="52"/>
      <c r="K1" s="52"/>
    </row>
    <row r="2" spans="1:11">
      <c r="A2" s="107" t="s">
        <v>32</v>
      </c>
      <c r="B2" s="107"/>
      <c r="C2" s="107"/>
      <c r="D2" s="107"/>
      <c r="E2" s="107"/>
      <c r="F2" s="107"/>
      <c r="G2" s="107"/>
      <c r="H2" s="107"/>
      <c r="I2" s="53"/>
      <c r="J2" s="54"/>
      <c r="K2" s="54"/>
    </row>
    <row r="3" spans="1:11">
      <c r="A3" s="107" t="s">
        <v>33</v>
      </c>
      <c r="B3" s="107"/>
      <c r="C3" s="107"/>
      <c r="D3" s="107"/>
      <c r="E3" s="107"/>
      <c r="F3" s="107"/>
      <c r="G3" s="107"/>
      <c r="H3" s="107"/>
      <c r="I3" s="53"/>
      <c r="J3" s="54"/>
      <c r="K3" s="54"/>
    </row>
    <row r="4" spans="1:11">
      <c r="A4" s="107" t="s">
        <v>34</v>
      </c>
      <c r="B4" s="107"/>
      <c r="C4" s="107"/>
      <c r="D4" s="107"/>
      <c r="E4" s="107"/>
      <c r="F4" s="107"/>
      <c r="G4" s="107"/>
      <c r="H4" s="107"/>
      <c r="I4" s="53"/>
      <c r="J4" s="54"/>
      <c r="K4" s="54"/>
    </row>
    <row r="5" spans="1:11">
      <c r="A5" s="108" t="s">
        <v>35</v>
      </c>
      <c r="B5" s="108"/>
      <c r="C5" s="108"/>
      <c r="D5" s="108"/>
      <c r="E5" s="108"/>
      <c r="F5" s="108"/>
      <c r="G5" s="108"/>
      <c r="H5" s="108"/>
      <c r="I5" s="55"/>
      <c r="J5" s="56"/>
      <c r="K5" s="56"/>
    </row>
    <row r="6" spans="1:11" ht="19.5">
      <c r="A6" s="109" t="s">
        <v>36</v>
      </c>
      <c r="B6" s="109"/>
      <c r="C6" s="109"/>
      <c r="D6" s="109"/>
      <c r="E6" s="109"/>
      <c r="F6" s="109"/>
      <c r="G6" s="109"/>
      <c r="H6" s="109"/>
      <c r="I6" s="57"/>
      <c r="J6" s="57"/>
      <c r="K6" s="57"/>
    </row>
    <row r="7" spans="1:11" ht="15.75">
      <c r="A7" s="110" t="s">
        <v>204</v>
      </c>
      <c r="B7" s="110"/>
      <c r="C7" s="110"/>
      <c r="D7" s="110"/>
      <c r="E7" s="110"/>
      <c r="F7" s="110"/>
      <c r="G7" s="110"/>
      <c r="H7" s="110"/>
      <c r="I7" s="57"/>
      <c r="J7" s="57"/>
      <c r="K7" s="57"/>
    </row>
    <row r="8" spans="1:11">
      <c r="A8" s="58"/>
      <c r="B8" s="105" t="s">
        <v>59</v>
      </c>
      <c r="C8" s="105"/>
      <c r="D8" s="105"/>
      <c r="E8" s="111" t="s">
        <v>37</v>
      </c>
      <c r="F8" s="111"/>
      <c r="G8" s="111"/>
      <c r="H8" s="111"/>
      <c r="I8" s="59"/>
      <c r="J8" s="60"/>
      <c r="K8" s="60"/>
    </row>
    <row r="9" spans="1:11">
      <c r="A9" s="58"/>
      <c r="B9" s="105" t="s">
        <v>60</v>
      </c>
      <c r="C9" s="105"/>
      <c r="D9" s="61"/>
      <c r="E9" s="112"/>
      <c r="F9" s="112"/>
      <c r="G9" s="112"/>
      <c r="H9" s="112"/>
      <c r="I9" s="112"/>
      <c r="J9" s="60"/>
      <c r="K9" s="60"/>
    </row>
    <row r="10" spans="1:11">
      <c r="A10" s="58"/>
      <c r="B10" s="105" t="s">
        <v>61</v>
      </c>
      <c r="C10" s="106"/>
      <c r="D10" s="106"/>
      <c r="E10" s="106"/>
      <c r="F10" s="106"/>
      <c r="G10" s="106"/>
      <c r="H10" s="106"/>
      <c r="I10" s="59"/>
      <c r="J10" s="60"/>
      <c r="K10" s="60"/>
    </row>
    <row r="11" spans="1:11">
      <c r="A11" s="58"/>
      <c r="B11" s="105" t="s">
        <v>38</v>
      </c>
      <c r="C11" s="106"/>
      <c r="D11" s="106"/>
      <c r="E11" s="106"/>
      <c r="F11" s="106"/>
      <c r="G11" s="106"/>
      <c r="H11" s="106"/>
      <c r="I11" s="59"/>
      <c r="J11" s="60"/>
      <c r="K11" s="60"/>
    </row>
    <row r="12" spans="1:11">
      <c r="A12" s="58"/>
      <c r="B12" s="106" t="s">
        <v>52</v>
      </c>
      <c r="C12" s="106"/>
      <c r="D12" s="106"/>
      <c r="E12" s="106"/>
      <c r="F12" s="106"/>
      <c r="G12" s="106"/>
      <c r="H12" s="106"/>
      <c r="I12" s="59"/>
      <c r="J12" s="60"/>
      <c r="K12" s="60"/>
    </row>
    <row r="13" spans="1:11">
      <c r="A13" s="58"/>
      <c r="B13" s="106" t="s">
        <v>53</v>
      </c>
      <c r="C13" s="106"/>
      <c r="D13" s="106"/>
      <c r="E13" s="106"/>
      <c r="F13" s="106"/>
      <c r="G13" s="106"/>
      <c r="H13" s="106"/>
      <c r="I13" s="59"/>
      <c r="J13" s="60"/>
      <c r="K13" s="60"/>
    </row>
    <row r="14" spans="1:11">
      <c r="A14" s="58"/>
      <c r="B14" s="105" t="s">
        <v>51</v>
      </c>
      <c r="C14" s="106"/>
      <c r="D14" s="106"/>
      <c r="E14" s="106"/>
      <c r="F14" s="106"/>
      <c r="G14" s="106"/>
      <c r="H14" s="106"/>
      <c r="I14" s="59"/>
      <c r="J14" s="60"/>
      <c r="K14" s="60"/>
    </row>
    <row r="15" spans="1:11" ht="15.75">
      <c r="A15" s="113" t="s">
        <v>39</v>
      </c>
      <c r="B15" s="114" t="s">
        <v>40</v>
      </c>
      <c r="C15" s="114" t="s">
        <v>41</v>
      </c>
      <c r="D15" s="114" t="s">
        <v>42</v>
      </c>
      <c r="E15" s="114"/>
      <c r="F15" s="114" t="s">
        <v>25</v>
      </c>
      <c r="G15" s="114" t="s">
        <v>43</v>
      </c>
      <c r="H15" s="114" t="s">
        <v>44</v>
      </c>
      <c r="I15" s="113" t="s">
        <v>45</v>
      </c>
      <c r="J15" s="57"/>
      <c r="K15" s="57"/>
    </row>
    <row r="16" spans="1:11" ht="31.5">
      <c r="A16" s="113"/>
      <c r="B16" s="114"/>
      <c r="C16" s="114"/>
      <c r="D16" s="62" t="s">
        <v>46</v>
      </c>
      <c r="E16" s="62" t="s">
        <v>47</v>
      </c>
      <c r="F16" s="114"/>
      <c r="G16" s="114"/>
      <c r="H16" s="114"/>
      <c r="I16" s="113"/>
      <c r="J16" s="57"/>
      <c r="K16" s="57"/>
    </row>
    <row r="17" spans="1:11" ht="51" customHeight="1">
      <c r="A17" s="75"/>
      <c r="B17" s="76"/>
      <c r="C17" s="76"/>
      <c r="D17" s="76"/>
      <c r="E17" s="76"/>
      <c r="F17" s="76"/>
      <c r="G17" s="77"/>
      <c r="H17" s="77"/>
      <c r="I17" s="76"/>
      <c r="J17" s="63"/>
      <c r="K17" s="63"/>
    </row>
    <row r="18" spans="1:11" ht="28.5" customHeight="1">
      <c r="A18" s="64"/>
      <c r="B18" s="116" t="s">
        <v>48</v>
      </c>
      <c r="C18" s="116"/>
      <c r="D18" s="65"/>
      <c r="E18" s="66"/>
      <c r="F18" s="67"/>
      <c r="G18" s="68">
        <f>SUM(G17:G17)</f>
        <v>0</v>
      </c>
      <c r="H18" s="68">
        <f>SUM(H17:H17)</f>
        <v>0</v>
      </c>
      <c r="I18" s="69"/>
      <c r="J18" s="57"/>
      <c r="K18" s="57"/>
    </row>
    <row r="19" spans="1:11" ht="24.75" customHeight="1">
      <c r="A19" s="70"/>
      <c r="B19" s="71"/>
      <c r="C19" s="72"/>
      <c r="D19" s="117" t="s">
        <v>58</v>
      </c>
      <c r="E19" s="117"/>
      <c r="F19" s="117"/>
      <c r="G19" s="117"/>
      <c r="H19" s="117"/>
      <c r="I19" s="117"/>
      <c r="J19" s="63"/>
      <c r="K19" s="63"/>
    </row>
    <row r="20" spans="1:11" ht="18" customHeight="1">
      <c r="A20" s="118" t="s">
        <v>49</v>
      </c>
      <c r="B20" s="118"/>
      <c r="C20" s="118"/>
      <c r="D20" s="118"/>
      <c r="E20" s="118"/>
      <c r="F20" s="118"/>
      <c r="G20" s="118"/>
      <c r="H20" s="118"/>
      <c r="I20" s="118"/>
      <c r="J20" s="63"/>
      <c r="K20" s="63"/>
    </row>
    <row r="21" spans="1:11" ht="15.75">
      <c r="A21" s="73"/>
      <c r="B21" s="74"/>
      <c r="C21" s="57"/>
      <c r="D21" s="57"/>
      <c r="E21" s="57"/>
      <c r="F21" s="57"/>
      <c r="G21" s="57"/>
      <c r="H21" s="57"/>
      <c r="I21" s="57"/>
      <c r="J21" s="73"/>
      <c r="K21" s="73"/>
    </row>
    <row r="22" spans="1:11" ht="15.75">
      <c r="A22" s="73"/>
      <c r="B22" s="74"/>
      <c r="C22" s="57"/>
      <c r="D22" s="57"/>
      <c r="E22" s="57"/>
      <c r="F22" s="57"/>
      <c r="G22" s="57"/>
      <c r="H22" s="57"/>
      <c r="I22" s="57"/>
      <c r="J22" s="57"/>
      <c r="K22" s="57"/>
    </row>
    <row r="23" spans="1:11" ht="15.75">
      <c r="A23" s="115" t="s">
        <v>50</v>
      </c>
      <c r="B23" s="115"/>
      <c r="C23" s="115"/>
      <c r="D23" s="115"/>
      <c r="E23" s="115"/>
      <c r="F23" s="115"/>
      <c r="G23" s="115"/>
      <c r="H23" s="115"/>
      <c r="I23" s="115"/>
      <c r="J23" s="57"/>
      <c r="K23" s="57"/>
    </row>
  </sheetData>
  <mergeCells count="27">
    <mergeCell ref="A23:I23"/>
    <mergeCell ref="I15:I16"/>
    <mergeCell ref="B18:C18"/>
    <mergeCell ref="D19:I19"/>
    <mergeCell ref="A20:I20"/>
    <mergeCell ref="B12:H12"/>
    <mergeCell ref="B13:H13"/>
    <mergeCell ref="B14:H14"/>
    <mergeCell ref="A15:A16"/>
    <mergeCell ref="B15:B16"/>
    <mergeCell ref="C15:C16"/>
    <mergeCell ref="D15:E15"/>
    <mergeCell ref="F15:F16"/>
    <mergeCell ref="G15:G16"/>
    <mergeCell ref="H15:H16"/>
    <mergeCell ref="B11:H11"/>
    <mergeCell ref="A2:H2"/>
    <mergeCell ref="A3:H3"/>
    <mergeCell ref="A4:H4"/>
    <mergeCell ref="A5:H5"/>
    <mergeCell ref="A6:H6"/>
    <mergeCell ref="A7:H7"/>
    <mergeCell ref="B8:D8"/>
    <mergeCell ref="E8:H8"/>
    <mergeCell ref="B9:C9"/>
    <mergeCell ref="E9:I9"/>
    <mergeCell ref="B10:H10"/>
  </mergeCells>
  <pageMargins left="0.7" right="0.7" top="0.75" bottom="0.75" header="0.3" footer="0.3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LÂY NHÔM YANGLY </vt:lpstr>
      <vt:lpstr>VẬT TƯ PHỤ </vt:lpstr>
      <vt:lpstr>NHÔM </vt:lpstr>
      <vt:lpstr>KÍNH </vt:lpstr>
      <vt:lpstr>PHIỄU XUÂT KHO </vt:lpstr>
      <vt:lpstr>'LÂY NHÔM YANGLY '!Print_Titles</vt:lpstr>
      <vt:lpstr>'NHÔM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tsc</dc:creator>
  <cp:lastModifiedBy>HOME</cp:lastModifiedBy>
  <cp:lastPrinted>2025-12-01T04:18:09Z</cp:lastPrinted>
  <dcterms:created xsi:type="dcterms:W3CDTF">2016-08-23T04:10:25Z</dcterms:created>
  <dcterms:modified xsi:type="dcterms:W3CDTF">2025-12-01T04:20:46Z</dcterms:modified>
</cp:coreProperties>
</file>